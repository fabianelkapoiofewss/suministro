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gestion\"/>
    </mc:Choice>
  </mc:AlternateContent>
  <xr:revisionPtr revIDLastSave="0" documentId="13_ncr:1_{21BF2000-FB41-4524-8966-D1A41ACDBA89}" xr6:coauthVersionLast="47" xr6:coauthVersionMax="47" xr10:uidLastSave="{00000000-0000-0000-0000-000000000000}"/>
  <bookViews>
    <workbookView xWindow="-120" yWindow="-120" windowWidth="29040" windowHeight="15720" xr2:uid="{C7B49A11-1596-4CB1-847E-37A517A7D0D9}"/>
  </bookViews>
  <sheets>
    <sheet name="REGISTRO" sheetId="1" r:id="rId1"/>
    <sheet name="ENTRADAS" sheetId="2" r:id="rId2"/>
    <sheet name="SALIDAS" sheetId="3" r:id="rId3"/>
    <sheet name="INVENTARIO" sheetId="4" r:id="rId4"/>
    <sheet name="DATO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5" l="1"/>
  <c r="E2" i="5"/>
  <c r="B2" i="4"/>
  <c r="C2" i="4"/>
  <c r="D2" i="4"/>
  <c r="D3" i="5"/>
  <c r="E3" i="5"/>
  <c r="B3" i="4"/>
  <c r="B4" i="5" s="1"/>
  <c r="C3" i="4"/>
  <c r="D3" i="4"/>
  <c r="D4" i="5"/>
  <c r="E4" i="5"/>
  <c r="D5" i="5"/>
  <c r="E5" i="5"/>
  <c r="B4" i="4"/>
  <c r="C4" i="4"/>
  <c r="D4" i="4"/>
  <c r="D6" i="5"/>
  <c r="E6" i="5"/>
  <c r="B5" i="4"/>
  <c r="B6" i="5" s="1"/>
  <c r="C5" i="4"/>
  <c r="D5" i="4"/>
  <c r="D7" i="5"/>
  <c r="E7" i="5"/>
  <c r="B6" i="4"/>
  <c r="B7" i="5" s="1"/>
  <c r="C6" i="4"/>
  <c r="D6" i="4"/>
  <c r="D8" i="5"/>
  <c r="E8" i="5"/>
  <c r="B7" i="4"/>
  <c r="B9" i="5" s="1"/>
  <c r="C7" i="4"/>
  <c r="D7" i="4"/>
  <c r="D9" i="5"/>
  <c r="E9" i="5"/>
  <c r="B8" i="4"/>
  <c r="C8" i="4"/>
  <c r="D8" i="4"/>
  <c r="D10" i="5"/>
  <c r="E10" i="5"/>
  <c r="B9" i="4"/>
  <c r="B10" i="5" s="1"/>
  <c r="C9" i="4"/>
  <c r="D9" i="4"/>
  <c r="D11" i="5"/>
  <c r="E11" i="5"/>
  <c r="B10" i="4"/>
  <c r="B12" i="5" s="1"/>
  <c r="C10" i="4"/>
  <c r="D10" i="4"/>
  <c r="D12" i="5"/>
  <c r="E12" i="5"/>
  <c r="B11" i="4"/>
  <c r="C11" i="4"/>
  <c r="D11" i="4"/>
  <c r="D13" i="5"/>
  <c r="E13" i="5"/>
  <c r="B12" i="4"/>
  <c r="C12" i="4"/>
  <c r="D12" i="4"/>
  <c r="D14" i="5"/>
  <c r="E14" i="5"/>
  <c r="B13" i="4"/>
  <c r="C13" i="4"/>
  <c r="D13" i="4"/>
  <c r="D15" i="5"/>
  <c r="E15" i="5"/>
  <c r="B14" i="4"/>
  <c r="B15" i="5" s="1"/>
  <c r="C14" i="4"/>
  <c r="D14" i="4"/>
  <c r="D16" i="5"/>
  <c r="E16" i="5"/>
  <c r="B15" i="4"/>
  <c r="B16" i="5" s="1"/>
  <c r="C15" i="4"/>
  <c r="D15" i="4"/>
  <c r="D17" i="5"/>
  <c r="E17" i="5"/>
  <c r="B16" i="4"/>
  <c r="B17" i="5" s="1"/>
  <c r="C16" i="4"/>
  <c r="D16" i="4"/>
  <c r="D18" i="5"/>
  <c r="E18" i="5"/>
  <c r="B17" i="4"/>
  <c r="B18" i="5" s="1"/>
  <c r="C17" i="4"/>
  <c r="D17" i="4"/>
  <c r="D19" i="5"/>
  <c r="E19" i="5"/>
  <c r="B18" i="4"/>
  <c r="C18" i="4"/>
  <c r="D18" i="4"/>
  <c r="D20" i="5"/>
  <c r="E20" i="5"/>
  <c r="B19" i="4"/>
  <c r="B20" i="5" s="1"/>
  <c r="C19" i="4"/>
  <c r="D19" i="4"/>
  <c r="D21" i="5"/>
  <c r="E21" i="5"/>
  <c r="B20" i="4"/>
  <c r="B21" i="5" s="1"/>
  <c r="C20" i="4"/>
  <c r="D20" i="4"/>
  <c r="D22" i="5"/>
  <c r="E22" i="5"/>
  <c r="B21" i="4"/>
  <c r="C21" i="4"/>
  <c r="D21" i="4"/>
  <c r="D23" i="5"/>
  <c r="E23" i="5"/>
  <c r="B22" i="4"/>
  <c r="C22" i="4"/>
  <c r="D22" i="4"/>
  <c r="D24" i="5"/>
  <c r="E24" i="5"/>
  <c r="B23" i="4"/>
  <c r="B24" i="5" s="1"/>
  <c r="C23" i="4"/>
  <c r="D23" i="4"/>
  <c r="D25" i="5"/>
  <c r="E25" i="5"/>
  <c r="B24" i="4"/>
  <c r="C24" i="4"/>
  <c r="D24" i="4"/>
  <c r="D26" i="5"/>
  <c r="E26" i="5"/>
  <c r="B25" i="4"/>
  <c r="B26" i="5" s="1"/>
  <c r="C25" i="4"/>
  <c r="D25" i="4"/>
  <c r="D27" i="5"/>
  <c r="E27" i="5"/>
  <c r="B26" i="4"/>
  <c r="B27" i="5" s="1"/>
  <c r="C26" i="4"/>
  <c r="D26" i="4"/>
  <c r="D28" i="5"/>
  <c r="E28" i="5"/>
  <c r="B27" i="4"/>
  <c r="B28" i="5" s="1"/>
  <c r="C27" i="4"/>
  <c r="D27" i="4"/>
  <c r="D29" i="5"/>
  <c r="E29" i="5"/>
  <c r="B28" i="4"/>
  <c r="B29" i="5" s="1"/>
  <c r="C28" i="4"/>
  <c r="D28" i="4"/>
  <c r="D30" i="5"/>
  <c r="E30" i="5"/>
  <c r="B29" i="4"/>
  <c r="B30" i="5" s="1"/>
  <c r="C29" i="4"/>
  <c r="D29" i="4"/>
  <c r="D31" i="5"/>
  <c r="E31" i="5"/>
  <c r="B30" i="4"/>
  <c r="B31" i="5" s="1"/>
  <c r="C30" i="4"/>
  <c r="D30" i="4"/>
  <c r="D32" i="5"/>
  <c r="E32" i="5"/>
  <c r="B31" i="4"/>
  <c r="B33" i="5" s="1"/>
  <c r="C31" i="4"/>
  <c r="D31" i="4"/>
  <c r="D33" i="5"/>
  <c r="E33" i="5"/>
  <c r="B32" i="4"/>
  <c r="C32" i="4"/>
  <c r="D32" i="4"/>
  <c r="D34" i="5"/>
  <c r="E34" i="5"/>
  <c r="B33" i="4"/>
  <c r="B34" i="5" s="1"/>
  <c r="C33" i="4"/>
  <c r="D33" i="4"/>
  <c r="D35" i="5"/>
  <c r="E35" i="5"/>
  <c r="B34" i="4"/>
  <c r="C34" i="4"/>
  <c r="D34" i="4"/>
  <c r="B35" i="4"/>
  <c r="B19" i="5" s="1"/>
  <c r="C35" i="4"/>
  <c r="D35" i="4"/>
  <c r="D36" i="5"/>
  <c r="E36" i="5"/>
  <c r="B36" i="4"/>
  <c r="C36" i="4"/>
  <c r="D36" i="4"/>
  <c r="D37" i="5"/>
  <c r="E37" i="5"/>
  <c r="B37" i="4"/>
  <c r="B37" i="5" s="1"/>
  <c r="C37" i="4"/>
  <c r="D37" i="4"/>
  <c r="B38" i="4"/>
  <c r="C38" i="4"/>
  <c r="D38" i="4"/>
  <c r="D38" i="5"/>
  <c r="E38" i="5"/>
  <c r="B39" i="4"/>
  <c r="C39" i="4"/>
  <c r="D39" i="4"/>
  <c r="D39" i="5"/>
  <c r="E39" i="5"/>
  <c r="B40" i="4"/>
  <c r="B39" i="5" s="1"/>
  <c r="C40" i="4"/>
  <c r="D40" i="4"/>
  <c r="D40" i="5"/>
  <c r="E40" i="5"/>
  <c r="B41" i="4"/>
  <c r="B40" i="5" s="1"/>
  <c r="C41" i="4"/>
  <c r="D41" i="4"/>
  <c r="D41" i="5"/>
  <c r="E41" i="5"/>
  <c r="B42" i="4"/>
  <c r="B41" i="5" s="1"/>
  <c r="C42" i="4"/>
  <c r="D42" i="4"/>
  <c r="D42" i="5"/>
  <c r="E42" i="5"/>
  <c r="B43" i="4"/>
  <c r="B42" i="5" s="1"/>
  <c r="C43" i="4"/>
  <c r="D43" i="4"/>
  <c r="D43" i="5"/>
  <c r="E43" i="5"/>
  <c r="B44" i="4"/>
  <c r="B43" i="5" s="1"/>
  <c r="C44" i="4"/>
  <c r="D44" i="4"/>
  <c r="D44" i="5"/>
  <c r="E44" i="5"/>
  <c r="B45" i="4"/>
  <c r="B44" i="5" s="1"/>
  <c r="C45" i="4"/>
  <c r="D45" i="4"/>
  <c r="D45" i="5"/>
  <c r="E45" i="5"/>
  <c r="B46" i="4"/>
  <c r="B45" i="5" s="1"/>
  <c r="C46" i="4"/>
  <c r="D46" i="4"/>
  <c r="D46" i="5"/>
  <c r="E46" i="5"/>
  <c r="B47" i="4"/>
  <c r="B46" i="5" s="1"/>
  <c r="C47" i="4"/>
  <c r="D47" i="4"/>
  <c r="D47" i="5"/>
  <c r="E47" i="5"/>
  <c r="B48" i="4"/>
  <c r="B47" i="5" s="1"/>
  <c r="C48" i="4"/>
  <c r="D48" i="4"/>
  <c r="D48" i="5"/>
  <c r="E48" i="5"/>
  <c r="B49" i="4"/>
  <c r="B48" i="5" s="1"/>
  <c r="C49" i="4"/>
  <c r="D49" i="4"/>
  <c r="D49" i="5"/>
  <c r="E49" i="5"/>
  <c r="B50" i="4"/>
  <c r="C50" i="4"/>
  <c r="D50" i="4"/>
  <c r="D60" i="5"/>
  <c r="D61" i="5"/>
  <c r="E60" i="5"/>
  <c r="E61" i="5"/>
  <c r="D50" i="5"/>
  <c r="D51" i="5"/>
  <c r="D52" i="5"/>
  <c r="D53" i="5"/>
  <c r="D54" i="5"/>
  <c r="D55" i="5"/>
  <c r="D56" i="5"/>
  <c r="D57" i="5"/>
  <c r="D58" i="5"/>
  <c r="D59" i="5"/>
  <c r="E50" i="5"/>
  <c r="E51" i="5"/>
  <c r="E52" i="5"/>
  <c r="E53" i="5"/>
  <c r="E54" i="5"/>
  <c r="E55" i="5"/>
  <c r="E56" i="5"/>
  <c r="E57" i="5"/>
  <c r="E58" i="5"/>
  <c r="E59" i="5"/>
  <c r="B51" i="4"/>
  <c r="C51" i="4"/>
  <c r="D51" i="4"/>
  <c r="B52" i="4"/>
  <c r="B50" i="5" s="1"/>
  <c r="C52" i="4"/>
  <c r="D52" i="4"/>
  <c r="B53" i="4"/>
  <c r="B51" i="5" s="1"/>
  <c r="C53" i="4"/>
  <c r="D53" i="4"/>
  <c r="B54" i="4"/>
  <c r="B52" i="5" s="1"/>
  <c r="C54" i="4"/>
  <c r="D54" i="4"/>
  <c r="B55" i="4"/>
  <c r="C55" i="4"/>
  <c r="D55" i="4"/>
  <c r="B53" i="5" l="1"/>
  <c r="B5" i="5"/>
  <c r="B3" i="5"/>
  <c r="E2" i="4"/>
  <c r="E3" i="4"/>
  <c r="B14" i="5"/>
  <c r="E4" i="4"/>
  <c r="E5" i="4"/>
  <c r="C6" i="5" s="1"/>
  <c r="B8" i="5"/>
  <c r="E6" i="4"/>
  <c r="B22" i="5"/>
  <c r="E7" i="4"/>
  <c r="E8" i="4"/>
  <c r="E9" i="4"/>
  <c r="C10" i="5" s="1"/>
  <c r="B11" i="5"/>
  <c r="E10" i="4"/>
  <c r="E11" i="4"/>
  <c r="B13" i="5"/>
  <c r="E12" i="4"/>
  <c r="E13" i="4"/>
  <c r="E14" i="4"/>
  <c r="C15" i="5" s="1"/>
  <c r="E15" i="4"/>
  <c r="C16" i="5" s="1"/>
  <c r="E16" i="4"/>
  <c r="C17" i="5" s="1"/>
  <c r="E17" i="4"/>
  <c r="C18" i="5" s="1"/>
  <c r="B25" i="5"/>
  <c r="E18" i="4"/>
  <c r="E19" i="4"/>
  <c r="C20" i="5" s="1"/>
  <c r="B23" i="5"/>
  <c r="E20" i="4"/>
  <c r="C21" i="5" s="1"/>
  <c r="E21" i="4"/>
  <c r="E22" i="4"/>
  <c r="E23" i="4"/>
  <c r="C24" i="5" s="1"/>
  <c r="E24" i="4"/>
  <c r="E25" i="4"/>
  <c r="C26" i="5" s="1"/>
  <c r="E26" i="4"/>
  <c r="C27" i="5" s="1"/>
  <c r="E27" i="4"/>
  <c r="C28" i="5" s="1"/>
  <c r="E28" i="4"/>
  <c r="C29" i="5" s="1"/>
  <c r="E29" i="4"/>
  <c r="C30" i="5" s="1"/>
  <c r="B32" i="5"/>
  <c r="E30" i="4"/>
  <c r="C31" i="5" s="1"/>
  <c r="E31" i="4"/>
  <c r="C32" i="5" s="1"/>
  <c r="E32" i="4"/>
  <c r="E33" i="4"/>
  <c r="C34" i="5" s="1"/>
  <c r="E34" i="4"/>
  <c r="B38" i="5"/>
  <c r="E35" i="4"/>
  <c r="B36" i="5"/>
  <c r="E36" i="4"/>
  <c r="E37" i="4"/>
  <c r="C37" i="5" s="1"/>
  <c r="E38" i="4"/>
  <c r="E39" i="4"/>
  <c r="E40" i="4"/>
  <c r="C39" i="5" s="1"/>
  <c r="E41" i="4"/>
  <c r="C40" i="5" s="1"/>
  <c r="E42" i="4"/>
  <c r="C41" i="5" s="1"/>
  <c r="E43" i="4"/>
  <c r="C42" i="5" s="1"/>
  <c r="E44" i="4"/>
  <c r="C43" i="5" s="1"/>
  <c r="E45" i="4"/>
  <c r="E46" i="4"/>
  <c r="C45" i="5" s="1"/>
  <c r="E47" i="4"/>
  <c r="C46" i="5" s="1"/>
  <c r="B49" i="5"/>
  <c r="E48" i="4"/>
  <c r="C47" i="5" s="1"/>
  <c r="E49" i="4"/>
  <c r="C48" i="5" s="1"/>
  <c r="E50" i="4"/>
  <c r="C49" i="5" s="1"/>
  <c r="E51" i="4"/>
  <c r="E52" i="4"/>
  <c r="E53" i="4"/>
  <c r="C51" i="5" s="1"/>
  <c r="E54" i="4"/>
  <c r="C52" i="5" s="1"/>
  <c r="E55" i="4"/>
  <c r="C53" i="5" s="1"/>
  <c r="B56" i="4"/>
  <c r="B54" i="5" s="1"/>
  <c r="C56" i="4"/>
  <c r="D56" i="4"/>
  <c r="B57" i="4"/>
  <c r="B55" i="5" s="1"/>
  <c r="C57" i="4"/>
  <c r="D57" i="4"/>
  <c r="B58" i="4"/>
  <c r="C58" i="4"/>
  <c r="D58" i="4"/>
  <c r="B59" i="4"/>
  <c r="B57" i="5" s="1"/>
  <c r="C59" i="4"/>
  <c r="D59" i="4"/>
  <c r="B60" i="4"/>
  <c r="B58" i="5" s="1"/>
  <c r="C60" i="4"/>
  <c r="D60" i="4"/>
  <c r="B61" i="4"/>
  <c r="B59" i="5" s="1"/>
  <c r="C61" i="4"/>
  <c r="D61" i="4"/>
  <c r="B62" i="4"/>
  <c r="B60" i="5" s="1"/>
  <c r="C62" i="4"/>
  <c r="D62" i="4"/>
  <c r="B2" i="5" l="1"/>
  <c r="C4" i="5"/>
  <c r="C3" i="5"/>
  <c r="C5" i="5"/>
  <c r="C8" i="5"/>
  <c r="C7" i="5"/>
  <c r="C19" i="5"/>
  <c r="C9" i="5"/>
  <c r="C14" i="5"/>
  <c r="C12" i="5"/>
  <c r="C11" i="5"/>
  <c r="C44" i="5"/>
  <c r="C13" i="5"/>
  <c r="C23" i="5"/>
  <c r="C22" i="5"/>
  <c r="B56" i="5"/>
  <c r="B35" i="5"/>
  <c r="C50" i="5"/>
  <c r="C36" i="5"/>
  <c r="E56" i="4"/>
  <c r="C54" i="5" s="1"/>
  <c r="E57" i="4"/>
  <c r="C55" i="5" s="1"/>
  <c r="E58" i="4"/>
  <c r="C33" i="5" s="1"/>
  <c r="E59" i="4"/>
  <c r="C57" i="5" s="1"/>
  <c r="E60" i="4"/>
  <c r="E61" i="4"/>
  <c r="C59" i="5" s="1"/>
  <c r="E62" i="4"/>
  <c r="C60" i="5" s="1"/>
  <c r="B63" i="4"/>
  <c r="B61" i="5" s="1"/>
  <c r="D63" i="4"/>
  <c r="C63" i="4"/>
  <c r="C2" i="5" l="1"/>
  <c r="C58" i="5"/>
  <c r="C25" i="5"/>
  <c r="C56" i="5"/>
  <c r="C35" i="5"/>
  <c r="C38" i="5"/>
  <c r="E63" i="4"/>
  <c r="C61" i="5" s="1"/>
</calcChain>
</file>

<file path=xl/sharedStrings.xml><?xml version="1.0" encoding="utf-8"?>
<sst xmlns="http://schemas.openxmlformats.org/spreadsheetml/2006/main" count="2000" uniqueCount="886">
  <si>
    <t>REGISTRO DE OPERACIONES</t>
  </si>
  <si>
    <t>CODIGO</t>
  </si>
  <si>
    <t>DESCRIPCION</t>
  </si>
  <si>
    <t>CANTIDAD</t>
  </si>
  <si>
    <t>VALOR</t>
  </si>
  <si>
    <t>FECHA</t>
  </si>
  <si>
    <t>COSTO</t>
  </si>
  <si>
    <t>TANLUSQAMA</t>
  </si>
  <si>
    <t>Rollo tanza x3 x1k red.LUSQTOFF</t>
  </si>
  <si>
    <t>ENTRADA</t>
  </si>
  <si>
    <t>SALIDA</t>
  </si>
  <si>
    <t>INVENTARO</t>
  </si>
  <si>
    <t>EXISTENCIA</t>
  </si>
  <si>
    <t>TANLUSQNA</t>
  </si>
  <si>
    <t>Rollo tanza x3 x1k cuad.LUSQTOFF</t>
  </si>
  <si>
    <t>FS230</t>
  </si>
  <si>
    <t>Desmalezador STIHL FS230</t>
  </si>
  <si>
    <t>HT105</t>
  </si>
  <si>
    <t>Podadora de altura STIHLHT105</t>
  </si>
  <si>
    <t>SH86</t>
  </si>
  <si>
    <t>Soplador STIHL SH86</t>
  </si>
  <si>
    <t>ARTILLEDBR</t>
  </si>
  <si>
    <t>Artefacto de ilumancion Led c/brazo</t>
  </si>
  <si>
    <t>LAMLED50W</t>
  </si>
  <si>
    <t>Lampara Led 50W</t>
  </si>
  <si>
    <t>LAMLED100W</t>
  </si>
  <si>
    <t>Lampara Led 100W</t>
  </si>
  <si>
    <t>Alumbrado publico led 100w</t>
  </si>
  <si>
    <t>Alumbrado publico led 150w</t>
  </si>
  <si>
    <t>BRAALUPUB</t>
  </si>
  <si>
    <t>Brazo alumbrado publico</t>
  </si>
  <si>
    <t>N°</t>
  </si>
  <si>
    <t>ALICATE8</t>
  </si>
  <si>
    <t>Pinza de corte 8"</t>
  </si>
  <si>
    <t>DVD</t>
  </si>
  <si>
    <t>BPD</t>
  </si>
  <si>
    <t>AMBANCO</t>
  </si>
  <si>
    <t>AM125</t>
  </si>
  <si>
    <t>AM180</t>
  </si>
  <si>
    <t>Detector de voltaje digital 90-1000v</t>
  </si>
  <si>
    <t>Amoladora electrica  x125 mm</t>
  </si>
  <si>
    <t>Amoladora electrica  x180 mm</t>
  </si>
  <si>
    <t>Amoladora de banco 5" 125mm</t>
  </si>
  <si>
    <t>Buscapolos digital 12-250V</t>
  </si>
  <si>
    <t>Destornillador  PHILIP x 75mm</t>
  </si>
  <si>
    <t>Destornillador  PHILIP x 200mm</t>
  </si>
  <si>
    <t>Destornillador  PHILIP x 150mm</t>
  </si>
  <si>
    <t>Destornillador  PHILIP x 125mm</t>
  </si>
  <si>
    <t>Destornillador  PLANO x 75mm</t>
  </si>
  <si>
    <t>Destornillador  PLANO x 100mm</t>
  </si>
  <si>
    <t>Destornillador  PLANO x 150mm</t>
  </si>
  <si>
    <t>Destornillador  PLANO x 200mm</t>
  </si>
  <si>
    <t>Azadita con rastrillo para jardin</t>
  </si>
  <si>
    <t>AZRAJAR</t>
  </si>
  <si>
    <t>RAJAR5P</t>
  </si>
  <si>
    <t>ALEN</t>
  </si>
  <si>
    <t>Juego de llave ALEN 9 PZS 1.5 - 10 mm</t>
  </si>
  <si>
    <t>LLBOC</t>
  </si>
  <si>
    <t>LLCONB</t>
  </si>
  <si>
    <t>Martillo tipo MAZO x1k</t>
  </si>
  <si>
    <t>Matillo uña 21mm</t>
  </si>
  <si>
    <t>MTMAZx1</t>
  </si>
  <si>
    <t>MTUÑA</t>
  </si>
  <si>
    <t>PZFU</t>
  </si>
  <si>
    <t>Pinza universal FURZA 8"</t>
  </si>
  <si>
    <t>PZP</t>
  </si>
  <si>
    <t>Pinza punta fina 8"</t>
  </si>
  <si>
    <t>PVCOMP</t>
  </si>
  <si>
    <t xml:space="preserve">Plancha compactadora 6.5hp 3000rpm </t>
  </si>
  <si>
    <t>TPODAR</t>
  </si>
  <si>
    <t>Tijera para podar 28"</t>
  </si>
  <si>
    <t>SL200</t>
  </si>
  <si>
    <t>Soldador inverter x200 A</t>
  </si>
  <si>
    <t>SL250</t>
  </si>
  <si>
    <t>Soldador inverter x250 A</t>
  </si>
  <si>
    <t>TEBO</t>
  </si>
  <si>
    <t>TPBT</t>
  </si>
  <si>
    <t>Taladro electrico BOSCH 750W</t>
  </si>
  <si>
    <t>Taladro percutor a bateria 20V 13 mm</t>
  </si>
  <si>
    <t>TZ12"</t>
  </si>
  <si>
    <t>SCPA</t>
  </si>
  <si>
    <t>Scaner de pared UT387</t>
  </si>
  <si>
    <t>DVUT15</t>
  </si>
  <si>
    <t>Detector de voltaje continuidad UT15</t>
  </si>
  <si>
    <t>DPHILIPx75</t>
  </si>
  <si>
    <t>DPHILIPx200</t>
  </si>
  <si>
    <t>DPHILIPx150</t>
  </si>
  <si>
    <t>PHILIPx125</t>
  </si>
  <si>
    <t>DTPLANOx75</t>
  </si>
  <si>
    <t>DTPLANOx100</t>
  </si>
  <si>
    <t>DTPLANOx150</t>
  </si>
  <si>
    <t>DTPLANOx200</t>
  </si>
  <si>
    <t>Juego de llave Conbinada 17 pzs.6a22mm</t>
  </si>
  <si>
    <t>Juego de llave de boca 8 pzs 6a22mm</t>
  </si>
  <si>
    <t>Farola iluminacion tipo pionero c/brazo corto</t>
  </si>
  <si>
    <t>SBCO1</t>
  </si>
  <si>
    <t>Pinura sintetica x 1lt. BLANCO</t>
  </si>
  <si>
    <t>SBCO4</t>
  </si>
  <si>
    <t>Pinura sintetica x 4lts. BLANCO</t>
  </si>
  <si>
    <t>B1</t>
  </si>
  <si>
    <t>B4</t>
  </si>
  <si>
    <t>Barniz x 1 lt.</t>
  </si>
  <si>
    <t>Barniz x 4 lt.</t>
  </si>
  <si>
    <t>IMMAD1</t>
  </si>
  <si>
    <t>IMMAD4</t>
  </si>
  <si>
    <t>Impregante para madera x 1lt.</t>
  </si>
  <si>
    <t>Impregante para madera x 4lt.</t>
  </si>
  <si>
    <t>Pintura en aerosol x400 cc</t>
  </si>
  <si>
    <t>Pintura en aerosol x155 cc</t>
  </si>
  <si>
    <t>TH1</t>
  </si>
  <si>
    <t>Thinner x 1 lt.</t>
  </si>
  <si>
    <t>SNEG1</t>
  </si>
  <si>
    <t>SNEG4</t>
  </si>
  <si>
    <t>Pinura sintetica x 1lt. NEGRO</t>
  </si>
  <si>
    <t>Pinura sintetica x 4lts.NEGRO</t>
  </si>
  <si>
    <t>PAERO400</t>
  </si>
  <si>
    <t>PAERO155</t>
  </si>
  <si>
    <t>TANLONYLAMA</t>
  </si>
  <si>
    <t>Rollo tanza x3 x1k red.LONYL x130 mts.</t>
  </si>
  <si>
    <t>MCHBEL</t>
  </si>
  <si>
    <t>Machete BELLOTA 31-22 RM</t>
  </si>
  <si>
    <t>B165</t>
  </si>
  <si>
    <t>Brochas cerda 165x58 MAX</t>
  </si>
  <si>
    <t>B123</t>
  </si>
  <si>
    <t>Brochas cerda 123x45 MAX</t>
  </si>
  <si>
    <t>B190</t>
  </si>
  <si>
    <t>Brochas cerda 190x65 MAX</t>
  </si>
  <si>
    <t>CP36</t>
  </si>
  <si>
    <t>CP18</t>
  </si>
  <si>
    <t>Cinta papel 36 mm  x 50 mts.</t>
  </si>
  <si>
    <t>Cinta papel 18 mm  x 50 mts.</t>
  </si>
  <si>
    <t>PIN1"</t>
  </si>
  <si>
    <t>Pincel cerda 1"</t>
  </si>
  <si>
    <t>PIN11/2</t>
  </si>
  <si>
    <t>Pincel cerda 11/2</t>
  </si>
  <si>
    <t>Lija 40 x 45 mts.</t>
  </si>
  <si>
    <t>LIJA40</t>
  </si>
  <si>
    <t>LIJA60</t>
  </si>
  <si>
    <t>LIJA80</t>
  </si>
  <si>
    <t>LIJA100</t>
  </si>
  <si>
    <t>Lija 60 x 45 mts.</t>
  </si>
  <si>
    <t>Lija 80 x 45 mts.</t>
  </si>
  <si>
    <t>Lija 100 x 45 mts.</t>
  </si>
  <si>
    <t>45 mts</t>
  </si>
  <si>
    <t>CL2 1/2</t>
  </si>
  <si>
    <t>Clavos 2 1/2</t>
  </si>
  <si>
    <t>10 kg</t>
  </si>
  <si>
    <t>EL2.513</t>
  </si>
  <si>
    <t>Electrodo 2.5  E6013</t>
  </si>
  <si>
    <t>85 kg</t>
  </si>
  <si>
    <t>RLG</t>
  </si>
  <si>
    <t>Rodillo lana GRANDE</t>
  </si>
  <si>
    <t>RLM</t>
  </si>
  <si>
    <t>RLCH</t>
  </si>
  <si>
    <t>Rodillo lana MEDIANO</t>
  </si>
  <si>
    <t>Rodillo lana CHICO</t>
  </si>
  <si>
    <t>CAAT</t>
  </si>
  <si>
    <t>Cinta adesiva ancha TRANSP x100</t>
  </si>
  <si>
    <t>Cinta adesiva ancha MARRON x100</t>
  </si>
  <si>
    <t>CAAM</t>
  </si>
  <si>
    <t>PLO500</t>
  </si>
  <si>
    <t>Plomada x 500 g</t>
  </si>
  <si>
    <t>N40</t>
  </si>
  <si>
    <t>N30</t>
  </si>
  <si>
    <t>Nivel PVC 1.0mm 40cm</t>
  </si>
  <si>
    <t>Nivel PVC 1.0mm 30cm</t>
  </si>
  <si>
    <t>LAG220</t>
  </si>
  <si>
    <t>LAG150</t>
  </si>
  <si>
    <t>LAG100</t>
  </si>
  <si>
    <t>Lija al agua grano 220</t>
  </si>
  <si>
    <t>Lija al agua grano 150</t>
  </si>
  <si>
    <t>Lija al agua grano 100</t>
  </si>
  <si>
    <t>LCAR</t>
  </si>
  <si>
    <t>Lapiz carpintero 176x12x1.4</t>
  </si>
  <si>
    <t>TZ8"</t>
  </si>
  <si>
    <t>HS</t>
  </si>
  <si>
    <t>Hoja sierra arco 18x12"</t>
  </si>
  <si>
    <t>PIN2"</t>
  </si>
  <si>
    <t>Pincel cerda 2"</t>
  </si>
  <si>
    <t>PIN30</t>
  </si>
  <si>
    <t>Pincel cerda N°30</t>
  </si>
  <si>
    <t>COTQ1/2</t>
  </si>
  <si>
    <t>Conexcion tanque 1/2</t>
  </si>
  <si>
    <t>COTQ3/4</t>
  </si>
  <si>
    <t>Conexcion tanque 3/4</t>
  </si>
  <si>
    <t>COTQ1"</t>
  </si>
  <si>
    <t>Conexcion tanque 1"</t>
  </si>
  <si>
    <t>Anti parras transparente</t>
  </si>
  <si>
    <t>ATP</t>
  </si>
  <si>
    <t>RTM18</t>
  </si>
  <si>
    <t>Rastrillo metal 18 dientes</t>
  </si>
  <si>
    <t>Rastrillo 5 puntas para jardin</t>
  </si>
  <si>
    <t>GTHI</t>
  </si>
  <si>
    <t>Pares guantes de hilo</t>
  </si>
  <si>
    <t>GTLT</t>
  </si>
  <si>
    <t>Pares guantes LATEX uso industrial</t>
  </si>
  <si>
    <t>BLAL</t>
  </si>
  <si>
    <t>Balde de albañil PVC</t>
  </si>
  <si>
    <t>PLAN</t>
  </si>
  <si>
    <t>Pala ancha mango metal</t>
  </si>
  <si>
    <t>PLPU</t>
  </si>
  <si>
    <t>Pala punta mango metal</t>
  </si>
  <si>
    <t>FTMD30</t>
  </si>
  <si>
    <t>Fratacho de madera x30 cm</t>
  </si>
  <si>
    <t>RTPVC18</t>
  </si>
  <si>
    <t>Rastrillo PVC 18d. Jardin</t>
  </si>
  <si>
    <t>RTM22</t>
  </si>
  <si>
    <t>Rastrillo METAL 22d. Jardin</t>
  </si>
  <si>
    <r>
      <rPr>
        <sz val="10"/>
        <color theme="1"/>
        <rFont val="Aptos Narrow"/>
        <scheme val="minor"/>
      </rPr>
      <t>OPRIMIR BOTON:</t>
    </r>
    <r>
      <rPr>
        <b/>
        <sz val="10"/>
        <color theme="1"/>
        <rFont val="Aptos Narrow"/>
        <scheme val="minor"/>
      </rPr>
      <t xml:space="preserve"> INVENTARIO LUEGO DATOS </t>
    </r>
    <r>
      <rPr>
        <sz val="10"/>
        <color theme="1"/>
        <rFont val="Aptos Narrow"/>
        <scheme val="minor"/>
      </rPr>
      <t>SOLAMENTE AL DAR SALIDA A CODIGOS NUEVOS</t>
    </r>
  </si>
  <si>
    <t>CNA1/2</t>
  </si>
  <si>
    <t>Rollo Caño negro 1/2 para agua</t>
  </si>
  <si>
    <t>Rollo Caño negro 1/2 para agua x 50 mts</t>
  </si>
  <si>
    <t>CNA3/4</t>
  </si>
  <si>
    <t>Rollo Caño negro 3/4 para agua</t>
  </si>
  <si>
    <t>Rollo Caño negro 3/4 para agua x 50 mts</t>
  </si>
  <si>
    <t>Rollo Caño negro 1"para agua</t>
  </si>
  <si>
    <t>CNA1"</t>
  </si>
  <si>
    <t>CPVC40</t>
  </si>
  <si>
    <t>CPVC50</t>
  </si>
  <si>
    <t>CPVC60</t>
  </si>
  <si>
    <t>CPVC100</t>
  </si>
  <si>
    <t>Caño cloacal PVC x40</t>
  </si>
  <si>
    <t>Caño cloacal PVC x50</t>
  </si>
  <si>
    <t>Caño cloacal PVC x60</t>
  </si>
  <si>
    <t>Caño cloacal PVC x100</t>
  </si>
  <si>
    <t>CPLA1/2</t>
  </si>
  <si>
    <t>CPLA3/4</t>
  </si>
  <si>
    <t>CPLA1"</t>
  </si>
  <si>
    <t>Caño Polipropileno agua 1/2</t>
  </si>
  <si>
    <t>Caño Polipropileno agua 3/4</t>
  </si>
  <si>
    <t>Caño Polipropileno agua 1"</t>
  </si>
  <si>
    <t>Mango madera escobillon</t>
  </si>
  <si>
    <t>MMD</t>
  </si>
  <si>
    <t>TF3/4</t>
  </si>
  <si>
    <t>Cinta Teflon 3/4 x 10 mts.</t>
  </si>
  <si>
    <t>FIND</t>
  </si>
  <si>
    <t>Fuelle goma para inodoro</t>
  </si>
  <si>
    <t>TJM6</t>
  </si>
  <si>
    <t>Rollo tejido alambre romboidal 6x6 1,50</t>
  </si>
  <si>
    <t>ALAM</t>
  </si>
  <si>
    <t>Rollo de alambre atar</t>
  </si>
  <si>
    <t>CPVC1/2</t>
  </si>
  <si>
    <t>CM1/2</t>
  </si>
  <si>
    <t>CM3/4</t>
  </si>
  <si>
    <t>CME1/2</t>
  </si>
  <si>
    <t>CME3/4</t>
  </si>
  <si>
    <t>Canilla METAL 1/2 esferica c/palanca</t>
  </si>
  <si>
    <t>Canilla METAL 3/4 esferica c/palanca</t>
  </si>
  <si>
    <t>Canilla PVC 1/2 esferica c/palanca</t>
  </si>
  <si>
    <t>Canilla metal cuerito 1/2</t>
  </si>
  <si>
    <t>Canilla metal cuerito 3/4</t>
  </si>
  <si>
    <t>ALICATE6</t>
  </si>
  <si>
    <t>Pinza de corte 6"</t>
  </si>
  <si>
    <t>PZPL</t>
  </si>
  <si>
    <t>Pinza Pico loro 10"</t>
  </si>
  <si>
    <t>Espatulas 4" mango madera</t>
  </si>
  <si>
    <t>ESMD4</t>
  </si>
  <si>
    <t>ESMD3</t>
  </si>
  <si>
    <t>ESMD2</t>
  </si>
  <si>
    <t>Espatulas 3" mango madera</t>
  </si>
  <si>
    <t>Espatulas 2" mango madera</t>
  </si>
  <si>
    <t>SLLRC</t>
  </si>
  <si>
    <t>Sella roscas x25cc</t>
  </si>
  <si>
    <t>LLAUT8</t>
  </si>
  <si>
    <t>Llave autoperforante 8mm</t>
  </si>
  <si>
    <t>CSTIHL</t>
  </si>
  <si>
    <t>CSTIHLA</t>
  </si>
  <si>
    <t>Cabezal STIHL 46-2  autom.motoguad.</t>
  </si>
  <si>
    <t>CMTG</t>
  </si>
  <si>
    <t>Cabezal manual motoguad.</t>
  </si>
  <si>
    <t>CE5030</t>
  </si>
  <si>
    <t>Caño estructural 50x30</t>
  </si>
  <si>
    <t>CE3030</t>
  </si>
  <si>
    <t>Caño estructural 30x30</t>
  </si>
  <si>
    <t>CE5020</t>
  </si>
  <si>
    <t>Caño estructural 50x20</t>
  </si>
  <si>
    <t>CE4030</t>
  </si>
  <si>
    <t>Caño estructural 40x30</t>
  </si>
  <si>
    <t>CE3020</t>
  </si>
  <si>
    <t>Caño estructural 30x20</t>
  </si>
  <si>
    <t>CE1515</t>
  </si>
  <si>
    <t>Caño estructural 15x15</t>
  </si>
  <si>
    <t>CE2020</t>
  </si>
  <si>
    <t>Caño estructural 20x20</t>
  </si>
  <si>
    <t>CE4020</t>
  </si>
  <si>
    <t>Caño estructural 40x20</t>
  </si>
  <si>
    <t>PC10040</t>
  </si>
  <si>
    <t>Perfil C 100x40</t>
  </si>
  <si>
    <t>PC8040</t>
  </si>
  <si>
    <t>Perfil C 80x40</t>
  </si>
  <si>
    <t>BPVC37</t>
  </si>
  <si>
    <t>BPVC38</t>
  </si>
  <si>
    <t>BPVC39</t>
  </si>
  <si>
    <t>BPVC41</t>
  </si>
  <si>
    <t>BPVC42</t>
  </si>
  <si>
    <t>BPVC44</t>
  </si>
  <si>
    <t>BPVC45</t>
  </si>
  <si>
    <t>BPVC46</t>
  </si>
  <si>
    <t>Pares Bota caña larga PVC N°37</t>
  </si>
  <si>
    <t>Pares Bota caña larga PVC N°38</t>
  </si>
  <si>
    <t>Pares Bota caña larga PVC N°39</t>
  </si>
  <si>
    <t>Pares Bota caña larga PVC N°41</t>
  </si>
  <si>
    <t>Pares Bota caña larga PVC N°42</t>
  </si>
  <si>
    <t>Pares Bota caña larga PVC N°44</t>
  </si>
  <si>
    <t>Pares Bota caña larga PVC N°45</t>
  </si>
  <si>
    <t>Pares Bota caña larga PVC N°46</t>
  </si>
  <si>
    <t xml:space="preserve">Piloto TRAJE para moto </t>
  </si>
  <si>
    <t>PMOTO</t>
  </si>
  <si>
    <t>PPON</t>
  </si>
  <si>
    <t xml:space="preserve">Piloto PONCHO LIVIANO </t>
  </si>
  <si>
    <t>FIPI</t>
  </si>
  <si>
    <t>ALED100W</t>
  </si>
  <si>
    <t>ALED150W</t>
  </si>
  <si>
    <t>GTDES</t>
  </si>
  <si>
    <t>Pares guantes DESCARNE</t>
  </si>
  <si>
    <t xml:space="preserve">Cepillo barrendero </t>
  </si>
  <si>
    <t>CBAR</t>
  </si>
  <si>
    <t>CHIR</t>
  </si>
  <si>
    <t>Corta hierro 3/4" - 12"</t>
  </si>
  <si>
    <t>CHALB</t>
  </si>
  <si>
    <t>Cuchara albañil redondo</t>
  </si>
  <si>
    <t>GTELEC</t>
  </si>
  <si>
    <t>Pares guantes caucho DIELEC.500v</t>
  </si>
  <si>
    <t>ASA</t>
  </si>
  <si>
    <t xml:space="preserve">Asada metal 2,5 </t>
  </si>
  <si>
    <t>Martillo uña 21mm</t>
  </si>
  <si>
    <t>Cabezal STIHL 46-2 motoguad.STIHL280</t>
  </si>
  <si>
    <t>Cabezal STIHL C32-2  motoguad.STIHL235</t>
  </si>
  <si>
    <t>Cabezal STIHL C32-2 motoguad.STIHL235</t>
  </si>
  <si>
    <t>o</t>
  </si>
  <si>
    <t>5 kg</t>
  </si>
  <si>
    <t>MS382</t>
  </si>
  <si>
    <t xml:space="preserve">Motosierra STIHL MS382 50cm/20" 5,2HP </t>
  </si>
  <si>
    <t>PUL450</t>
  </si>
  <si>
    <t>Pulverizador STIHL SR450 3,9cv 63,3cc 14,5mts 14 lts</t>
  </si>
  <si>
    <t>PULSG71</t>
  </si>
  <si>
    <t>Pulverizador STIHL SG71 18lts.</t>
  </si>
  <si>
    <t>HUPUL130</t>
  </si>
  <si>
    <t>Humidificador - Pulverizador FEMA TH130 INDUST.</t>
  </si>
  <si>
    <t>TULIP</t>
  </si>
  <si>
    <t>TULIPA alumbrado publico</t>
  </si>
  <si>
    <t>Tenaza carpintero 8"</t>
  </si>
  <si>
    <t>Tenaza armadora 10"</t>
  </si>
  <si>
    <t>TZ10"</t>
  </si>
  <si>
    <t>RODTH</t>
  </si>
  <si>
    <t>Rodillo apto thiner N°5</t>
  </si>
  <si>
    <t>Angulo 1" 1/4x316</t>
  </si>
  <si>
    <t>ANG1"1/4</t>
  </si>
  <si>
    <t>ANG1"1/8</t>
  </si>
  <si>
    <t>Angulo 1" 1/8</t>
  </si>
  <si>
    <t>ANG2"</t>
  </si>
  <si>
    <t>Angulo 2" 3/16</t>
  </si>
  <si>
    <t>BTGM42</t>
  </si>
  <si>
    <t>Bota de goma N°42</t>
  </si>
  <si>
    <t>BTGM44</t>
  </si>
  <si>
    <t>Bota de goma N°44</t>
  </si>
  <si>
    <t>BTGM45</t>
  </si>
  <si>
    <t>Bota de goma N°45</t>
  </si>
  <si>
    <t>BTGM46</t>
  </si>
  <si>
    <t>Bota de goma N°46</t>
  </si>
  <si>
    <t>BTGM37</t>
  </si>
  <si>
    <t>Bota de goma N°37</t>
  </si>
  <si>
    <t>BTGM38</t>
  </si>
  <si>
    <t>Bota de goma N°38</t>
  </si>
  <si>
    <t>BTGM39</t>
  </si>
  <si>
    <t>Bota de goma N°39</t>
  </si>
  <si>
    <t>BTGM41</t>
  </si>
  <si>
    <t>Bota de goma N°41</t>
  </si>
  <si>
    <t xml:space="preserve">Pintura latex x20 lts.BCO. </t>
  </si>
  <si>
    <t>Pintura latex x4 lts.BCO.</t>
  </si>
  <si>
    <t xml:space="preserve">Pintura latex x10 lts.BCO. </t>
  </si>
  <si>
    <t>LATEX4B</t>
  </si>
  <si>
    <t>LATEX10B</t>
  </si>
  <si>
    <t>LATEX20B</t>
  </si>
  <si>
    <t>LATEX4N</t>
  </si>
  <si>
    <t>Pintura latex x4 lts.NAR.</t>
  </si>
  <si>
    <t>LATEX10N</t>
  </si>
  <si>
    <t>Pintura latex x10 lts.NAR.</t>
  </si>
  <si>
    <t>LATEX20N</t>
  </si>
  <si>
    <t xml:space="preserve">Pintura latex x20 lts.NAR. </t>
  </si>
  <si>
    <t>LATEX4A</t>
  </si>
  <si>
    <t>Pintura latex x4 lts.AZUL</t>
  </si>
  <si>
    <t>LATEX10A</t>
  </si>
  <si>
    <t>Pintura latex x10 lts.AZUL</t>
  </si>
  <si>
    <t>LATEX20A</t>
  </si>
  <si>
    <t>Pintura latex x20 lts.AZUL</t>
  </si>
  <si>
    <t>Codo TUBILENO 1/2</t>
  </si>
  <si>
    <t>Codo TUBILENO 3/4</t>
  </si>
  <si>
    <t>Codo TUBILENO 1"</t>
  </si>
  <si>
    <t>T1/2</t>
  </si>
  <si>
    <t>T3/4</t>
  </si>
  <si>
    <t>T1"</t>
  </si>
  <si>
    <r>
      <rPr>
        <b/>
        <sz val="9"/>
        <color theme="1"/>
        <rFont val="Aptos Narrow"/>
        <scheme val="minor"/>
      </rPr>
      <t>T</t>
    </r>
    <r>
      <rPr>
        <sz val="9"/>
        <color theme="1"/>
        <rFont val="Aptos Narrow"/>
        <family val="2"/>
        <scheme val="minor"/>
      </rPr>
      <t xml:space="preserve"> TUBILENO 1/2</t>
    </r>
  </si>
  <si>
    <r>
      <rPr>
        <b/>
        <sz val="9"/>
        <color theme="1"/>
        <rFont val="Aptos Narrow"/>
        <scheme val="minor"/>
      </rPr>
      <t>T</t>
    </r>
    <r>
      <rPr>
        <sz val="9"/>
        <color theme="1"/>
        <rFont val="Aptos Narrow"/>
        <family val="2"/>
        <scheme val="minor"/>
      </rPr>
      <t xml:space="preserve"> TUBILENO 3/4</t>
    </r>
  </si>
  <si>
    <r>
      <rPr>
        <b/>
        <sz val="9"/>
        <color theme="1"/>
        <rFont val="Aptos Narrow"/>
        <scheme val="minor"/>
      </rPr>
      <t>T</t>
    </r>
    <r>
      <rPr>
        <sz val="9"/>
        <color theme="1"/>
        <rFont val="Aptos Narrow"/>
        <family val="2"/>
        <scheme val="minor"/>
      </rPr>
      <t xml:space="preserve"> TUBILENO 1"</t>
    </r>
  </si>
  <si>
    <t>COD1/2</t>
  </si>
  <si>
    <t>COD3/4</t>
  </si>
  <si>
    <t>COD1"</t>
  </si>
  <si>
    <t>COD1/2POLI</t>
  </si>
  <si>
    <t>COD3/4POLI</t>
  </si>
  <si>
    <t>COD1"POLI</t>
  </si>
  <si>
    <t>Codo 1/2 POLIMEX</t>
  </si>
  <si>
    <t>Codo 3/4 POLIMEX</t>
  </si>
  <si>
    <t>Codo 1" POLIMEX</t>
  </si>
  <si>
    <r>
      <rPr>
        <b/>
        <sz val="9"/>
        <color theme="1"/>
        <rFont val="Aptos Narrow"/>
        <scheme val="minor"/>
      </rPr>
      <t>T</t>
    </r>
    <r>
      <rPr>
        <sz val="9"/>
        <color theme="1"/>
        <rFont val="Aptos Narrow"/>
        <family val="2"/>
        <scheme val="minor"/>
      </rPr>
      <t>1/2POLI</t>
    </r>
  </si>
  <si>
    <r>
      <t xml:space="preserve">T </t>
    </r>
    <r>
      <rPr>
        <sz val="9"/>
        <color theme="1"/>
        <rFont val="Aptos Narrow"/>
        <scheme val="minor"/>
      </rPr>
      <t>1/2 POLIMEX</t>
    </r>
  </si>
  <si>
    <r>
      <rPr>
        <b/>
        <sz val="9"/>
        <color theme="1"/>
        <rFont val="Aptos Narrow"/>
        <scheme val="minor"/>
      </rPr>
      <t>T</t>
    </r>
    <r>
      <rPr>
        <sz val="9"/>
        <color theme="1"/>
        <rFont val="Aptos Narrow"/>
        <family val="2"/>
        <scheme val="minor"/>
      </rPr>
      <t>3/4POLI</t>
    </r>
  </si>
  <si>
    <r>
      <t xml:space="preserve">T </t>
    </r>
    <r>
      <rPr>
        <sz val="9"/>
        <color theme="1"/>
        <rFont val="Aptos Narrow"/>
        <scheme val="minor"/>
      </rPr>
      <t>3/4 POLIMEX</t>
    </r>
  </si>
  <si>
    <r>
      <rPr>
        <b/>
        <sz val="9"/>
        <color theme="1"/>
        <rFont val="Aptos Narrow"/>
        <scheme val="minor"/>
      </rPr>
      <t>T</t>
    </r>
    <r>
      <rPr>
        <sz val="9"/>
        <color theme="1"/>
        <rFont val="Aptos Narrow"/>
        <family val="2"/>
        <scheme val="minor"/>
      </rPr>
      <t>1"POLI</t>
    </r>
  </si>
  <si>
    <r>
      <t xml:space="preserve">T </t>
    </r>
    <r>
      <rPr>
        <sz val="9"/>
        <color theme="1"/>
        <rFont val="Aptos Narrow"/>
        <scheme val="minor"/>
      </rPr>
      <t>1" POLIMEX</t>
    </r>
  </si>
  <si>
    <t>SNAR1</t>
  </si>
  <si>
    <t>Pinura sintetica x 1lt. NARANJA</t>
  </si>
  <si>
    <t>SNAR4</t>
  </si>
  <si>
    <t>Pinura sintetica x 4lt. NARANJA</t>
  </si>
  <si>
    <t>SAZ1</t>
  </si>
  <si>
    <t>Pinura sintetica x 1lt. AZUL</t>
  </si>
  <si>
    <t>SAZ4</t>
  </si>
  <si>
    <t>Pinura sintetica x 4lt. AZUL</t>
  </si>
  <si>
    <t>SVERDE1</t>
  </si>
  <si>
    <t>SVERDE4</t>
  </si>
  <si>
    <t>Pinura sintetica x 1lt. VERDE</t>
  </si>
  <si>
    <t>Pinura sintetica x 4lt. VERDE</t>
  </si>
  <si>
    <t>LLANAL</t>
  </si>
  <si>
    <t>LLANAD24</t>
  </si>
  <si>
    <t>LLANAD31</t>
  </si>
  <si>
    <t>Lana DENTADA 24</t>
  </si>
  <si>
    <t>Lana DENTADA 31</t>
  </si>
  <si>
    <t>MENGNIV</t>
  </si>
  <si>
    <t>Cinta PELIGRO</t>
  </si>
  <si>
    <t>TANGRILON</t>
  </si>
  <si>
    <t xml:space="preserve">Rollo tanza 3.0 GRILON </t>
  </si>
  <si>
    <t>Manguera  NIVEL</t>
  </si>
  <si>
    <t>Llana lisa 27x13</t>
  </si>
  <si>
    <t>ENRM1/2</t>
  </si>
  <si>
    <t>Enchufe ROSCA M TUBIL.1/2</t>
  </si>
  <si>
    <t>ENRM3/4</t>
  </si>
  <si>
    <t>Enchufe ROSCA M TUBIL.3/4</t>
  </si>
  <si>
    <t>ENRM1"</t>
  </si>
  <si>
    <t>Enchufe ROSCA M TUBIL.1"</t>
  </si>
  <si>
    <t>T TUBILENO 1/2</t>
  </si>
  <si>
    <t>T TUBILENO 3/4</t>
  </si>
  <si>
    <t>T TUBILENO 1"</t>
  </si>
  <si>
    <t>Enchfe ROSCA HE TUBIL.1/2</t>
  </si>
  <si>
    <t>Enchufe ROSCA HE TUBIL.3/4</t>
  </si>
  <si>
    <t>Enchufe ROSCA HE TUBIL.1"</t>
  </si>
  <si>
    <t>ENRHE1/2</t>
  </si>
  <si>
    <t>ENRHE3/4</t>
  </si>
  <si>
    <t>ENRHE1"</t>
  </si>
  <si>
    <t>T1/2POLI</t>
  </si>
  <si>
    <t>T 1/2 POLIMEX</t>
  </si>
  <si>
    <t>T3/4POLI</t>
  </si>
  <si>
    <t>T 3/4 POLIMEX</t>
  </si>
  <si>
    <t>T1"POLI</t>
  </si>
  <si>
    <t>T 1" POLIMEX</t>
  </si>
  <si>
    <t>CINTPEL</t>
  </si>
  <si>
    <t>Cabo para asada</t>
  </si>
  <si>
    <t>CASAD</t>
  </si>
  <si>
    <t>LLana DENTADA 24</t>
  </si>
  <si>
    <t>LLana DENTADA 31</t>
  </si>
  <si>
    <t>Enchufe ROSCA HE TUBIL.1/2</t>
  </si>
  <si>
    <t>MOCHILA PulverizadorDE MANO STIHL SG71 18lts.</t>
  </si>
  <si>
    <t>A4</t>
  </si>
  <si>
    <t>Resma HOJA A4</t>
  </si>
  <si>
    <t>L85x14</t>
  </si>
  <si>
    <t>Resma HOJA LEGAL</t>
  </si>
  <si>
    <t>CJHERR</t>
  </si>
  <si>
    <t>Caja Herramientas 245 pzs</t>
  </si>
  <si>
    <t>AM125B</t>
  </si>
  <si>
    <t>Amoladora 125 BATERIA</t>
  </si>
  <si>
    <t>TEFA</t>
  </si>
  <si>
    <t>Taladro electrico FASCY 750W</t>
  </si>
  <si>
    <t>ESCMA2</t>
  </si>
  <si>
    <t>Escalera madera TIJERA 2mt.s</t>
  </si>
  <si>
    <t>ESCMA3</t>
  </si>
  <si>
    <t>Escalera madera TIJERA 3mt.s</t>
  </si>
  <si>
    <t>ESCMA3,5</t>
  </si>
  <si>
    <t>Escalera madera TIJERA 3,5mt.s</t>
  </si>
  <si>
    <t>DTPLANOx125</t>
  </si>
  <si>
    <t>Destornillador  PLANO x 125mm</t>
  </si>
  <si>
    <t>MECHMET</t>
  </si>
  <si>
    <t>Mecha ACERO RAPIDO</t>
  </si>
  <si>
    <t>MECHMAD</t>
  </si>
  <si>
    <t>Mecha MADERA</t>
  </si>
  <si>
    <t>MECHPAR</t>
  </si>
  <si>
    <t>Mecha PARED</t>
  </si>
  <si>
    <t>BROESC</t>
  </si>
  <si>
    <t>Broca ESCALONADA</t>
  </si>
  <si>
    <t>SOPL</t>
  </si>
  <si>
    <t>Soplete c/manguera</t>
  </si>
  <si>
    <t>GARR5K</t>
  </si>
  <si>
    <t>Garrafa 5 kgs.</t>
  </si>
  <si>
    <t>LLAFR12</t>
  </si>
  <si>
    <t>LLAFR18</t>
  </si>
  <si>
    <t>COD.</t>
  </si>
  <si>
    <t>Llave FRANCESA 12"</t>
  </si>
  <si>
    <t>Llave FRANCESA 18"</t>
  </si>
  <si>
    <t>SOL350</t>
  </si>
  <si>
    <t>Soldador MIC3  350</t>
  </si>
  <si>
    <t>SOL250</t>
  </si>
  <si>
    <t>Soldador MIC3  250</t>
  </si>
  <si>
    <t>REMCH17</t>
  </si>
  <si>
    <t>Remachador 17"</t>
  </si>
  <si>
    <t>REMCH10</t>
  </si>
  <si>
    <t>Remachador 10"</t>
  </si>
  <si>
    <t>REMACH</t>
  </si>
  <si>
    <t>Remaches</t>
  </si>
  <si>
    <t>Rueda DESBASTE</t>
  </si>
  <si>
    <t>Cepillo CIRBULAR  METAL</t>
  </si>
  <si>
    <t>Detector de TENCION</t>
  </si>
  <si>
    <t>Lapiz DIGITAL</t>
  </si>
  <si>
    <t>Detector de TENCION PARED</t>
  </si>
  <si>
    <t>Pinza de PRECION</t>
  </si>
  <si>
    <t>RUDES</t>
  </si>
  <si>
    <t>CEPCIR</t>
  </si>
  <si>
    <t>DECTENC</t>
  </si>
  <si>
    <t>LAPDIG</t>
  </si>
  <si>
    <t>DETENPC</t>
  </si>
  <si>
    <t>PZPREC</t>
  </si>
  <si>
    <t>VERT1M</t>
  </si>
  <si>
    <t>Vertical de 1 mt c/ESPIGA</t>
  </si>
  <si>
    <t>VERT1,5</t>
  </si>
  <si>
    <t>Vertical de 1,5 mt S/ESPIGA</t>
  </si>
  <si>
    <t>Horizontal U 0,33 mts.</t>
  </si>
  <si>
    <t>HORU</t>
  </si>
  <si>
    <t>HOR257</t>
  </si>
  <si>
    <t>Horizontal 2,57 mts.</t>
  </si>
  <si>
    <t>DIAG257</t>
  </si>
  <si>
    <t>Diagonales 2,57x1 mt.</t>
  </si>
  <si>
    <t>PLATCJ</t>
  </si>
  <si>
    <t>Plataforma C/CJ 0,32x2,57 mt</t>
  </si>
  <si>
    <t>CUNAP</t>
  </si>
  <si>
    <t>Cunas de Apilado</t>
  </si>
  <si>
    <t>LIMTRIB</t>
  </si>
  <si>
    <t>Limon de Tribuna 4 Tablones</t>
  </si>
  <si>
    <t>DIAG15</t>
  </si>
  <si>
    <t>Diagonal 2,57x1,5 mts</t>
  </si>
  <si>
    <t>CORRA</t>
  </si>
  <si>
    <t>Corralines</t>
  </si>
  <si>
    <t>BSREG</t>
  </si>
  <si>
    <t>TFAG4x40</t>
  </si>
  <si>
    <t>Tornillo FIX AGUJA 4x40</t>
  </si>
  <si>
    <t>Tornillo FIX AGUJA 5x50</t>
  </si>
  <si>
    <t>TFAG5x50</t>
  </si>
  <si>
    <t>TFAG6x60</t>
  </si>
  <si>
    <t>Tornillo FIX AGUJA 6x60</t>
  </si>
  <si>
    <t>ATPER8x3/4</t>
  </si>
  <si>
    <t>AutoPerforante 8x3/4</t>
  </si>
  <si>
    <t>ATPER8x11/2</t>
  </si>
  <si>
    <t>AutoPerforante 8x11/2</t>
  </si>
  <si>
    <t>ATPER14x2</t>
  </si>
  <si>
    <t>AutoPerforante 14x2</t>
  </si>
  <si>
    <t>DCOR115</t>
  </si>
  <si>
    <t>Disco de CORTE 115</t>
  </si>
  <si>
    <t>DCOR180</t>
  </si>
  <si>
    <t>Disco de CORTE 180</t>
  </si>
  <si>
    <t>DCOR405</t>
  </si>
  <si>
    <t>Disco de CORTE 405</t>
  </si>
  <si>
    <t>Disco DESBASTE 115</t>
  </si>
  <si>
    <t>DESB115</t>
  </si>
  <si>
    <t>DESB180</t>
  </si>
  <si>
    <t>Disco DESBASTE 180</t>
  </si>
  <si>
    <t>DFL115x60</t>
  </si>
  <si>
    <t xml:space="preserve">Disco FLAP 115x60 </t>
  </si>
  <si>
    <t>DFL115x80</t>
  </si>
  <si>
    <t xml:space="preserve">Disco FLAP 115x80 </t>
  </si>
  <si>
    <t>DFL180x60</t>
  </si>
  <si>
    <t xml:space="preserve">Disco FLAP 180x60 </t>
  </si>
  <si>
    <t>DFL180x80</t>
  </si>
  <si>
    <t xml:space="preserve">Disco FLAP 180x80 </t>
  </si>
  <si>
    <t>DESENC</t>
  </si>
  <si>
    <t>Desencofrador</t>
  </si>
  <si>
    <t>CCARP176-41</t>
  </si>
  <si>
    <t>Cepillo CARPINTERO 176x41</t>
  </si>
  <si>
    <t>CADTEL135</t>
  </si>
  <si>
    <t>Cadena TELESCOPICA STHIL 135</t>
  </si>
  <si>
    <t>CARB</t>
  </si>
  <si>
    <t>Cerburo x 50 kg.</t>
  </si>
  <si>
    <t>CARRET70</t>
  </si>
  <si>
    <t>Carretilla METAL 70 lts.</t>
  </si>
  <si>
    <t>CTMET5</t>
  </si>
  <si>
    <t>Cinta METRICA 5 mts.</t>
  </si>
  <si>
    <t>Cinta METRICA 7,5 mts.</t>
  </si>
  <si>
    <t>CTMET7.5</t>
  </si>
  <si>
    <t>CTMET10</t>
  </si>
  <si>
    <t>Cinta METRICA 10 mts.</t>
  </si>
  <si>
    <t>FLUMB3</t>
  </si>
  <si>
    <t>Faja LUMBAR 3</t>
  </si>
  <si>
    <t>FLUMB4</t>
  </si>
  <si>
    <t>Faja LUMBAR 4</t>
  </si>
  <si>
    <t>FLUMB5</t>
  </si>
  <si>
    <t>Faja LUMBAR 5</t>
  </si>
  <si>
    <t>FLEX13x40</t>
  </si>
  <si>
    <t>Flexible PVC 13x40</t>
  </si>
  <si>
    <t>AFILA</t>
  </si>
  <si>
    <t xml:space="preserve">Lima AFILADOR cadena </t>
  </si>
  <si>
    <t>MARTPLA</t>
  </si>
  <si>
    <t xml:space="preserve">Martillo PLANCHADO </t>
  </si>
  <si>
    <t>POXIL70</t>
  </si>
  <si>
    <t>POXILINA 70gs</t>
  </si>
  <si>
    <t>POXILINA  70gs.</t>
  </si>
  <si>
    <t>POXI10</t>
  </si>
  <si>
    <t>POXIPOL 10 x21gs</t>
  </si>
  <si>
    <t>PREC100x25</t>
  </si>
  <si>
    <t>PRECINTOS 100x2.5</t>
  </si>
  <si>
    <t>PREC200x36</t>
  </si>
  <si>
    <t>PRECINTOS 200x3.6</t>
  </si>
  <si>
    <t>PREC300x48</t>
  </si>
  <si>
    <t>PRECINTOS 300x4.8</t>
  </si>
  <si>
    <t>PREC380x48</t>
  </si>
  <si>
    <t>PRECINTOS 380x4.8</t>
  </si>
  <si>
    <t>PREC610x88</t>
  </si>
  <si>
    <t>PRECINTOS 610x8.8</t>
  </si>
  <si>
    <t>PREC650x124</t>
  </si>
  <si>
    <t>PRECINTOS 650x12,4</t>
  </si>
  <si>
    <t>PREC880x124</t>
  </si>
  <si>
    <t>PRECINTOS 880x12,4</t>
  </si>
  <si>
    <t>CAB1x1.5</t>
  </si>
  <si>
    <t>CAB1x2.5</t>
  </si>
  <si>
    <t>CAB1x4</t>
  </si>
  <si>
    <t>Base Regulables</t>
  </si>
  <si>
    <t>CAB1x10</t>
  </si>
  <si>
    <t>Clable UNIP.1x1.5 mm</t>
  </si>
  <si>
    <t>Clable UNIP.1x2.5 mm</t>
  </si>
  <si>
    <t>Clable UNIP.1x4 mm</t>
  </si>
  <si>
    <t>Clable UNIP.1x6 mm</t>
  </si>
  <si>
    <t>Clable UNIP.1x10 mm</t>
  </si>
  <si>
    <t>CAB1x6</t>
  </si>
  <si>
    <t>CABTT2x1.5</t>
  </si>
  <si>
    <t>CABTT2x2.5</t>
  </si>
  <si>
    <t>CABTT2x4</t>
  </si>
  <si>
    <t>CABTT2x6</t>
  </si>
  <si>
    <t>CABTT4x4</t>
  </si>
  <si>
    <t>CABTT4x6</t>
  </si>
  <si>
    <t>CABSUB4x2.5</t>
  </si>
  <si>
    <t>Clable TT 2x1.5mm</t>
  </si>
  <si>
    <t>Clable TT 2x2.5mm</t>
  </si>
  <si>
    <t>Clable TT 2x4mm</t>
  </si>
  <si>
    <t>Clable TT 2x6mm</t>
  </si>
  <si>
    <t>Clable TT 4x4mm</t>
  </si>
  <si>
    <t>Clable TT 4x6mm</t>
  </si>
  <si>
    <t>Clable SUBT 4x2.5mm</t>
  </si>
  <si>
    <t>CABSUB4x4</t>
  </si>
  <si>
    <t>Clable SUBT 4x4mm</t>
  </si>
  <si>
    <t>CABSUB4x6</t>
  </si>
  <si>
    <t>Clable SUBT 4x6mm</t>
  </si>
  <si>
    <t>CABSUB4x10</t>
  </si>
  <si>
    <t>Clable SUBT 4x10mm</t>
  </si>
  <si>
    <t>CABSUB4x16</t>
  </si>
  <si>
    <t>Clable SUBT 4x16mm</t>
  </si>
  <si>
    <t>CABPRE4x16</t>
  </si>
  <si>
    <t>Clable PRE-ENSAMB.4x16mm</t>
  </si>
  <si>
    <t>DESPIS5</t>
  </si>
  <si>
    <t>Desosdorante PISO x5lts.</t>
  </si>
  <si>
    <t>DETER5</t>
  </si>
  <si>
    <t>Detergente x5lts.</t>
  </si>
  <si>
    <t>LAVAN5</t>
  </si>
  <si>
    <t>Lavandina x5lts.</t>
  </si>
  <si>
    <t>DIFUS</t>
  </si>
  <si>
    <t>Disfusor AMBIENTE a pila</t>
  </si>
  <si>
    <t>REPDIF</t>
  </si>
  <si>
    <t>Repuesto para DIFUSOR</t>
  </si>
  <si>
    <t>INSEC</t>
  </si>
  <si>
    <t>INSECOLO</t>
  </si>
  <si>
    <t>LIPCREM</t>
  </si>
  <si>
    <t>Limpiador CREMOSO</t>
  </si>
  <si>
    <t>DESINF</t>
  </si>
  <si>
    <t>Desinfectante AEROSOL</t>
  </si>
  <si>
    <t>PASTIND</t>
  </si>
  <si>
    <t>Pastilla INODORO</t>
  </si>
  <si>
    <t>HORM</t>
  </si>
  <si>
    <t>Hormiguicida</t>
  </si>
  <si>
    <t>LUTMAER</t>
  </si>
  <si>
    <t>SERV</t>
  </si>
  <si>
    <t>CREOL</t>
  </si>
  <si>
    <t>Creolina x 1 lt.</t>
  </si>
  <si>
    <t>TAPAB</t>
  </si>
  <si>
    <t>Tapa BOCAS</t>
  </si>
  <si>
    <t>LIQBAÑP</t>
  </si>
  <si>
    <t>BALAUT</t>
  </si>
  <si>
    <t>LIPVDR</t>
  </si>
  <si>
    <t>Limpia VIDRIOS X1lt</t>
  </si>
  <si>
    <t>PALAREC</t>
  </si>
  <si>
    <t>Pala RECIDUOS</t>
  </si>
  <si>
    <t>ESPACE</t>
  </si>
  <si>
    <t>Esponja de ACERO</t>
  </si>
  <si>
    <t>ESPFIB</t>
  </si>
  <si>
    <t>Esponja de FIBRA</t>
  </si>
  <si>
    <t>FRAN</t>
  </si>
  <si>
    <t>Paño FRANELA</t>
  </si>
  <si>
    <t>DESAER</t>
  </si>
  <si>
    <t>Desodorante AEROSOL</t>
  </si>
  <si>
    <t>GUANTLAT</t>
  </si>
  <si>
    <t>PAÑOS</t>
  </si>
  <si>
    <t>REJAM</t>
  </si>
  <si>
    <t>Rejilla AMERICANA</t>
  </si>
  <si>
    <t>REJPES</t>
  </si>
  <si>
    <t>Rejilla PESADA</t>
  </si>
  <si>
    <t>BOLRESD</t>
  </si>
  <si>
    <t>JABPAN</t>
  </si>
  <si>
    <t>Jabon en PAN</t>
  </si>
  <si>
    <t>ROLLCOC</t>
  </si>
  <si>
    <t>SHAMAUT</t>
  </si>
  <si>
    <t>Shampo para AUTOS</t>
  </si>
  <si>
    <t>LIMPAR</t>
  </si>
  <si>
    <t>Limpia PARABRISAS</t>
  </si>
  <si>
    <t>LIMTAP</t>
  </si>
  <si>
    <t>Limpia TAPIZADOS</t>
  </si>
  <si>
    <t>REVNEUM</t>
  </si>
  <si>
    <t>SILIC</t>
  </si>
  <si>
    <t>Silicona MULTIUSO</t>
  </si>
  <si>
    <t>PILAA</t>
  </si>
  <si>
    <t>Pillas AA</t>
  </si>
  <si>
    <t>PLUBOC</t>
  </si>
  <si>
    <t>Plumero BOCHA LIMP.T</t>
  </si>
  <si>
    <t>BALPVC</t>
  </si>
  <si>
    <t>Insecticida AEROSOL</t>
  </si>
  <si>
    <t>Liquido para BAÑOS QUI</t>
  </si>
  <si>
    <t>Balde AUTOMATICO PVC</t>
  </si>
  <si>
    <t>Servilleta PAPEL</t>
  </si>
  <si>
    <t>Lustra mueble AEROSOL</t>
  </si>
  <si>
    <t>Bosa RESIDUOS</t>
  </si>
  <si>
    <t>Revividor NEUMATICO</t>
  </si>
  <si>
    <t>Balde PVC 12 lts.</t>
  </si>
  <si>
    <t>Insecticida AEROSOL S / OLOR</t>
  </si>
  <si>
    <t>DESBÑQUI</t>
  </si>
  <si>
    <t>Desodorante x1lt. BAÑO QUIMICO</t>
  </si>
  <si>
    <t>Pares Guante LATEX</t>
  </si>
  <si>
    <t>Pares guantes de HILO</t>
  </si>
  <si>
    <t xml:space="preserve">Anti parras </t>
  </si>
  <si>
    <t>Rollo de alambre GALVANIZADO</t>
  </si>
  <si>
    <t>ALAMGALV</t>
  </si>
  <si>
    <t>MULTI</t>
  </si>
  <si>
    <t>Pala ANCHA mango metal</t>
  </si>
  <si>
    <t>Pala PUNTA mango metal</t>
  </si>
  <si>
    <t>MULTIMETRO</t>
  </si>
  <si>
    <t>AGARRA</t>
  </si>
  <si>
    <t>Aguarras x 1 lts.</t>
  </si>
  <si>
    <t>MECHESC</t>
  </si>
  <si>
    <t>Mecha ESCALONADA</t>
  </si>
  <si>
    <t xml:space="preserve">Franela </t>
  </si>
  <si>
    <t>Cable PRE-ENSAMB.4x16mm</t>
  </si>
  <si>
    <t>Cable SUBT 4x10mm</t>
  </si>
  <si>
    <t>Cable SUBT 4x16mm</t>
  </si>
  <si>
    <t>Cable SUBT 4x2.5mm</t>
  </si>
  <si>
    <t>Cable SUBT 4x4mm</t>
  </si>
  <si>
    <t>Cable SUBT 4x6mm</t>
  </si>
  <si>
    <t>Cable TT 2x1.5mm</t>
  </si>
  <si>
    <t>Cable TT 2x2.5mm</t>
  </si>
  <si>
    <t>Cable TT 2x4mm</t>
  </si>
  <si>
    <t>Cable TT 2x6mm</t>
  </si>
  <si>
    <t>Cable TT 4x4mm</t>
  </si>
  <si>
    <t>Cable TT 4x6mm</t>
  </si>
  <si>
    <t>Cable UNIP.1x1.5 mm</t>
  </si>
  <si>
    <t>Cable UNIP.1x10 mm</t>
  </si>
  <si>
    <t>Cable UNIP.1x2.5 mm</t>
  </si>
  <si>
    <t>Cable UNIP.1x4 mm</t>
  </si>
  <si>
    <t>Cable UNIP.1x6 mm</t>
  </si>
  <si>
    <t>APLBRP231</t>
  </si>
  <si>
    <t>Alumb.Publi.LED BRP231 PHILIPS</t>
  </si>
  <si>
    <t>Rollo de COCINA x3</t>
  </si>
  <si>
    <t>BRAZOALUM</t>
  </si>
  <si>
    <t>Barzo alumbrado USADO</t>
  </si>
  <si>
    <t>Pintura LATEX x10 lts.AZUL</t>
  </si>
  <si>
    <t>Pintura LATEX x10 lts.BCO.</t>
  </si>
  <si>
    <t>Pintura LATEX x10 lts.NAR.</t>
  </si>
  <si>
    <t>Pintura LATEX x20 lts.AZUL</t>
  </si>
  <si>
    <t xml:space="preserve">Pintura LATEX x20 lts.BCO. </t>
  </si>
  <si>
    <t xml:space="preserve">Pintura LATEX x20 lts.NAR. </t>
  </si>
  <si>
    <t>Pintura LATEX x4 lts.AZUL</t>
  </si>
  <si>
    <t>Pintura LATEX x4 lts.BCO.</t>
  </si>
  <si>
    <t>Pintura LATEX x4 lts.NAR.</t>
  </si>
  <si>
    <t>LATEX20BOR</t>
  </si>
  <si>
    <t>Pintura LATEX x20 lts.BORGOÑA</t>
  </si>
  <si>
    <t>LATEX20BER</t>
  </si>
  <si>
    <t>Pintura LATEX x20 lts.BERMELLON</t>
  </si>
  <si>
    <t>LATEX20GR</t>
  </si>
  <si>
    <t>Pintura LATEX x20 lts.GRIS</t>
  </si>
  <si>
    <t>LATEX20MAI</t>
  </si>
  <si>
    <t>Pintura LATEX x20 lts.MAIZ</t>
  </si>
  <si>
    <t>LATEX20VMZ</t>
  </si>
  <si>
    <t>Pintura LATEX x20 lts.VERDE MZ</t>
  </si>
  <si>
    <t>LATEX10NG</t>
  </si>
  <si>
    <t>Pintura LATEX x10 lts.NEGRO</t>
  </si>
  <si>
    <t>LATEX10BOR</t>
  </si>
  <si>
    <t>Pintura LATEX x10 lts.BORGOÑA</t>
  </si>
  <si>
    <t>LATEX10BER</t>
  </si>
  <si>
    <t>Pintura LATEX x10 lts.BERMELLON</t>
  </si>
  <si>
    <t>LATEX10GR</t>
  </si>
  <si>
    <t>Pintura LATEX x10 lts.GRIS</t>
  </si>
  <si>
    <t>LATEX10MAI</t>
  </si>
  <si>
    <t>Pintura LATEX x10 lts.MAIZ</t>
  </si>
  <si>
    <t>LATEX10VMZ</t>
  </si>
  <si>
    <t>Pintura LATEX x10 lts.VERDE MZ</t>
  </si>
  <si>
    <t>LATEX4NG</t>
  </si>
  <si>
    <t>Pintura LATEX x4 lts.NEGRO</t>
  </si>
  <si>
    <t>LATEX4BOR</t>
  </si>
  <si>
    <t>Pintura LATEX x4 lts.BORGOÑA</t>
  </si>
  <si>
    <t>LATEX4BER</t>
  </si>
  <si>
    <t>Pintura LATEX x4 lts.BERMELLON</t>
  </si>
  <si>
    <t>LATEX4GR</t>
  </si>
  <si>
    <t>Pintura LATEX x4 lts.GRIS</t>
  </si>
  <si>
    <t>LATEX4MAI</t>
  </si>
  <si>
    <t>Pintura LATEX x4 lts.MAIZ</t>
  </si>
  <si>
    <t>Pintura LATEX x4 lts.VERDE MZ</t>
  </si>
  <si>
    <t>LATEX4VMZ</t>
  </si>
  <si>
    <t>ENDUx20</t>
  </si>
  <si>
    <t>ENDUx10</t>
  </si>
  <si>
    <t>ENDUx4</t>
  </si>
  <si>
    <t>Enduido x20 kgs.</t>
  </si>
  <si>
    <t>Enduido x10 kgs.</t>
  </si>
  <si>
    <t>Enduido x4 kgs.</t>
  </si>
  <si>
    <t>SELLFIJx20</t>
  </si>
  <si>
    <t>Sellador Fijador x20 kgs.</t>
  </si>
  <si>
    <t>SELLFIJx10</t>
  </si>
  <si>
    <t>SELLFIJx4</t>
  </si>
  <si>
    <t>Sellador Fijador x10 kgs.</t>
  </si>
  <si>
    <t>Sellador Fijador x4 kgs.</t>
  </si>
  <si>
    <t>BUHEXCT</t>
  </si>
  <si>
    <t>Bulon HEXAGONAL C/T G5 1/4x1-3/4</t>
  </si>
  <si>
    <t>BUCRT</t>
  </si>
  <si>
    <t>Bulon CABEZA REDONDA C/T 1/4x2</t>
  </si>
  <si>
    <t>PCAR</t>
  </si>
  <si>
    <t xml:space="preserve">Papel CARBONICO OFICIO </t>
  </si>
  <si>
    <t>BTOR8</t>
  </si>
  <si>
    <t>Bariila hierro toricionado 8mm</t>
  </si>
  <si>
    <t>BTOR6</t>
  </si>
  <si>
    <t>Bariila hierro toricionado 6mm</t>
  </si>
  <si>
    <t xml:space="preserve">Lima AFILA cadena </t>
  </si>
  <si>
    <r>
      <t xml:space="preserve">Enchufe ROSCA </t>
    </r>
    <r>
      <rPr>
        <b/>
        <sz val="9"/>
        <color theme="1"/>
        <rFont val="Aptos Narrow"/>
        <scheme val="minor"/>
      </rPr>
      <t>M</t>
    </r>
    <r>
      <rPr>
        <sz val="9"/>
        <color theme="1"/>
        <rFont val="Aptos Narrow"/>
        <family val="2"/>
        <scheme val="minor"/>
      </rPr>
      <t xml:space="preserve"> TUBIL.1"</t>
    </r>
  </si>
  <si>
    <r>
      <t xml:space="preserve">Enchufe ROSCA </t>
    </r>
    <r>
      <rPr>
        <b/>
        <sz val="9"/>
        <color theme="1"/>
        <rFont val="Aptos Narrow"/>
        <scheme val="minor"/>
      </rPr>
      <t>M</t>
    </r>
    <r>
      <rPr>
        <sz val="9"/>
        <color theme="1"/>
        <rFont val="Aptos Narrow"/>
        <family val="2"/>
        <scheme val="minor"/>
      </rPr>
      <t xml:space="preserve"> TUBIL.1/2</t>
    </r>
  </si>
  <si>
    <r>
      <t xml:space="preserve">Enchufe ROSCA </t>
    </r>
    <r>
      <rPr>
        <b/>
        <sz val="9"/>
        <color theme="1"/>
        <rFont val="Aptos Narrow"/>
        <scheme val="minor"/>
      </rPr>
      <t>M</t>
    </r>
    <r>
      <rPr>
        <sz val="9"/>
        <color theme="1"/>
        <rFont val="Aptos Narrow"/>
        <family val="2"/>
        <scheme val="minor"/>
      </rPr>
      <t xml:space="preserve"> TUBIL.3/4</t>
    </r>
  </si>
  <si>
    <t>BTGM40</t>
  </si>
  <si>
    <t>Bota de goma N°40</t>
  </si>
  <si>
    <t>BTGM43</t>
  </si>
  <si>
    <t>Bota de goma N°43</t>
  </si>
  <si>
    <t>Paño GUATA MULTIUSO</t>
  </si>
  <si>
    <t>ESCPAJA</t>
  </si>
  <si>
    <t>Escoba de PAJA</t>
  </si>
  <si>
    <t>CARTRA4</t>
  </si>
  <si>
    <t>Carpeta transparenta A4</t>
  </si>
  <si>
    <t>CARTROF</t>
  </si>
  <si>
    <t>Carpeta transparenta OFICIO</t>
  </si>
  <si>
    <t>PORBLTP</t>
  </si>
  <si>
    <t>Porta BLOC C/TAPA</t>
  </si>
  <si>
    <t>SOBMAN</t>
  </si>
  <si>
    <t>Sobre MANILA 27x37 cm</t>
  </si>
  <si>
    <t>ABRMT18</t>
  </si>
  <si>
    <t>Pinza metal ABROCH.18cm</t>
  </si>
  <si>
    <t>PORTAC</t>
  </si>
  <si>
    <t xml:space="preserve">Porta TACOS </t>
  </si>
  <si>
    <t>PER80</t>
  </si>
  <si>
    <t>Perforador 80mm</t>
  </si>
  <si>
    <t>PER82</t>
  </si>
  <si>
    <t>Perforador N°82</t>
  </si>
  <si>
    <t>LAPRB</t>
  </si>
  <si>
    <t>Lapicera ROLLER BALL NEGRO</t>
  </si>
  <si>
    <t>Boligrafo FABER NEGRO</t>
  </si>
  <si>
    <t>BOLFNEG</t>
  </si>
  <si>
    <t>BOLBNEG</t>
  </si>
  <si>
    <t>Boligrafo BIC NEGRO</t>
  </si>
  <si>
    <t>MARFNG</t>
  </si>
  <si>
    <t>Marcador FABER NEGRO</t>
  </si>
  <si>
    <t>Goma de BORRAR</t>
  </si>
  <si>
    <t>GMBOR</t>
  </si>
  <si>
    <t>GRM24/6</t>
  </si>
  <si>
    <t>Cjs.Grampas 24/6 x1000</t>
  </si>
  <si>
    <t xml:space="preserve">Adhesivo SILICONA x30 </t>
  </si>
  <si>
    <t>ADHSIL30</t>
  </si>
  <si>
    <t>ADHSIL50</t>
  </si>
  <si>
    <t xml:space="preserve">Adhesivo SILICONA x50 </t>
  </si>
  <si>
    <t>LPCOR7</t>
  </si>
  <si>
    <t>Lapiz CORRECTOR x7ml</t>
  </si>
  <si>
    <t>RESFLN</t>
  </si>
  <si>
    <t>Resaltador FLUO NAR.</t>
  </si>
  <si>
    <t>RESFLV</t>
  </si>
  <si>
    <t>Resaltador FLUO VER.</t>
  </si>
  <si>
    <t>RESFLA</t>
  </si>
  <si>
    <t>Resaltador FLUO AMAR</t>
  </si>
  <si>
    <t>LAPNEG</t>
  </si>
  <si>
    <t>Lapiz NEGRO BIC</t>
  </si>
  <si>
    <t>ARDCAR</t>
  </si>
  <si>
    <t>Arandela CARTON</t>
  </si>
  <si>
    <t>CP12</t>
  </si>
  <si>
    <t>Cinta papel 12 mm  x 50 mts.</t>
  </si>
  <si>
    <t>BIBLIO</t>
  </si>
  <si>
    <t>Bibliorato OFICIO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</si>
</sst>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scheme val="minor"/>
    </font>
    <font>
      <sz val="20"/>
      <color theme="1" tint="0.34998626667073579"/>
      <name val="Aptos Narrow"/>
      <family val="2"/>
      <scheme val="minor"/>
    </font>
    <font>
      <b/>
      <sz val="10"/>
      <color theme="3" tint="0.249977111117893"/>
      <name val="Aptos Narrow"/>
      <scheme val="minor"/>
    </font>
    <font>
      <b/>
      <sz val="10"/>
      <color theme="1"/>
      <name val="Aptos Narrow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9"/>
      <color theme="1"/>
      <name val="Aptos Narrow"/>
      <scheme val="minor"/>
    </font>
    <font>
      <sz val="9"/>
      <color theme="1"/>
      <name val="Aptos Narrow"/>
      <scheme val="minor"/>
    </font>
    <font>
      <sz val="10"/>
      <color theme="1"/>
      <name val="Aptos Narrow"/>
      <scheme val="minor"/>
    </font>
    <font>
      <sz val="9"/>
      <color theme="1"/>
      <name val="Arial"/>
      <family val="2"/>
    </font>
    <font>
      <sz val="9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70C0"/>
        <bgColor theme="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4506668294322"/>
      </right>
      <top/>
      <bottom style="thin">
        <color theme="4" tint="0.39997558519241921"/>
      </bottom>
      <diagonal/>
    </border>
    <border>
      <left style="thick">
        <color rgb="FFFFC000"/>
      </left>
      <right style="thick">
        <color rgb="FFFFC000"/>
      </right>
      <top style="thick">
        <color rgb="FFFFC000"/>
      </top>
      <bottom/>
      <diagonal/>
    </border>
    <border>
      <left style="thick">
        <color rgb="FFFFC00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FFC000"/>
      </right>
      <top/>
      <bottom style="thick">
        <color rgb="FFFFC000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 style="thin">
        <color indexed="64"/>
      </right>
      <top style="thin">
        <color theme="9" tint="-0.24994659260841701"/>
      </top>
      <bottom style="thin">
        <color theme="9" tint="-0.2499465926084170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8" xfId="0" applyFont="1" applyBorder="1" applyAlignment="1">
      <alignment horizontal="right"/>
    </xf>
    <xf numFmtId="0" fontId="0" fillId="0" borderId="0" xfId="0" applyBorder="1"/>
    <xf numFmtId="0" fontId="2" fillId="0" borderId="0" xfId="0" applyFont="1" applyBorder="1" applyAlignment="1">
      <alignment horizontal="right"/>
    </xf>
    <xf numFmtId="0" fontId="0" fillId="0" borderId="9" xfId="0" applyBorder="1"/>
    <xf numFmtId="0" fontId="3" fillId="0" borderId="8" xfId="0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4" fillId="3" borderId="10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6" fillId="4" borderId="12" xfId="0" applyFont="1" applyFill="1" applyBorder="1" applyAlignment="1">
      <alignment horizontal="center"/>
    </xf>
    <xf numFmtId="14" fontId="4" fillId="3" borderId="10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0" borderId="11" xfId="0" applyFont="1" applyFill="1" applyBorder="1"/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14" fontId="4" fillId="0" borderId="0" xfId="0" applyNumberFormat="1" applyFont="1"/>
    <xf numFmtId="0" fontId="4" fillId="0" borderId="11" xfId="0" applyFont="1" applyFill="1" applyBorder="1" applyAlignment="1">
      <alignment horizontal="center"/>
    </xf>
    <xf numFmtId="0" fontId="11" fillId="0" borderId="0" xfId="0" applyFont="1"/>
    <xf numFmtId="14" fontId="11" fillId="0" borderId="0" xfId="0" applyNumberFormat="1" applyFont="1"/>
    <xf numFmtId="0" fontId="4" fillId="0" borderId="0" xfId="0" applyFont="1" applyBorder="1" applyAlignment="1">
      <alignment horizontal="center"/>
    </xf>
    <xf numFmtId="0" fontId="0" fillId="0" borderId="0" xfId="0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Alignment="1">
      <alignment horizontal="center"/>
    </xf>
    <xf numFmtId="14" fontId="4" fillId="0" borderId="0" xfId="0" applyNumberFormat="1" applyFont="1" applyFill="1" applyAlignment="1">
      <alignment horizontal="center"/>
    </xf>
    <xf numFmtId="0" fontId="9" fillId="3" borderId="10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/>
    </xf>
    <xf numFmtId="14" fontId="6" fillId="8" borderId="0" xfId="0" applyNumberFormat="1" applyFont="1" applyFill="1" applyBorder="1" applyAlignment="1">
      <alignment horizontal="center"/>
    </xf>
    <xf numFmtId="0" fontId="12" fillId="7" borderId="1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</cellXfs>
  <cellStyles count="1">
    <cellStyle name="Normal" xfId="0" builtinId="0"/>
  </cellStyles>
  <dxfs count="34"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5" formatCode="dd/mm/yyyy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color rgb="FFFF0000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5" formatCode="dd/mm/yyyy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border diagonalUp="0" diagonalDown="0">
        <left style="thin">
          <color theme="4" tint="0.39997558519241921"/>
        </left>
        <right style="thin">
          <color theme="4" tint="0.39994506668294322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/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6D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47625</xdr:rowOff>
    </xdr:from>
    <xdr:to>
      <xdr:col>9</xdr:col>
      <xdr:colOff>0</xdr:colOff>
      <xdr:row>2</xdr:row>
      <xdr:rowOff>47625</xdr:rowOff>
    </xdr:to>
    <xdr:sp macro="[0]!inventario" textlink="">
      <xdr:nvSpPr>
        <xdr:cNvPr id="9" name="Rectángulo: biselado 8">
          <a:extLst>
            <a:ext uri="{FF2B5EF4-FFF2-40B4-BE49-F238E27FC236}">
              <a16:creationId xmlns:a16="http://schemas.microsoft.com/office/drawing/2014/main" id="{18403F19-DBC0-4FF2-8C74-34E206B851B9}"/>
            </a:ext>
          </a:extLst>
        </xdr:cNvPr>
        <xdr:cNvSpPr/>
      </xdr:nvSpPr>
      <xdr:spPr>
        <a:xfrm>
          <a:off x="5629275" y="47625"/>
          <a:ext cx="1181100" cy="361950"/>
        </a:xfrm>
        <a:prstGeom prst="bevel">
          <a:avLst/>
        </a:prstGeom>
        <a:solidFill>
          <a:srgbClr val="FF0000"/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 b="1" kern="1200">
              <a:solidFill>
                <a:schemeClr val="tx2">
                  <a:lumMod val="90000"/>
                  <a:lumOff val="10000"/>
                </a:schemeClr>
              </a:solidFill>
            </a:rPr>
            <a:t>INVENTARIO</a:t>
          </a:r>
        </a:p>
      </xdr:txBody>
    </xdr:sp>
    <xdr:clientData/>
  </xdr:twoCellAnchor>
  <xdr:twoCellAnchor>
    <xdr:from>
      <xdr:col>8</xdr:col>
      <xdr:colOff>1</xdr:colOff>
      <xdr:row>2</xdr:row>
      <xdr:rowOff>76200</xdr:rowOff>
    </xdr:from>
    <xdr:to>
      <xdr:col>9</xdr:col>
      <xdr:colOff>9525</xdr:colOff>
      <xdr:row>4</xdr:row>
      <xdr:rowOff>57150</xdr:rowOff>
    </xdr:to>
    <xdr:sp macro="[0]!datos" textlink="">
      <xdr:nvSpPr>
        <xdr:cNvPr id="10" name="Rectángulo: biselado 9">
          <a:extLst>
            <a:ext uri="{FF2B5EF4-FFF2-40B4-BE49-F238E27FC236}">
              <a16:creationId xmlns:a16="http://schemas.microsoft.com/office/drawing/2014/main" id="{F2BB3F57-BCCF-4E5D-B20A-430309E81627}"/>
            </a:ext>
          </a:extLst>
        </xdr:cNvPr>
        <xdr:cNvSpPr/>
      </xdr:nvSpPr>
      <xdr:spPr>
        <a:xfrm>
          <a:off x="5629276" y="438150"/>
          <a:ext cx="1190624" cy="361950"/>
        </a:xfrm>
        <a:prstGeom prst="bevel">
          <a:avLst/>
        </a:prstGeom>
        <a:solidFill>
          <a:srgbClr val="FF0000"/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 b="1" kern="1200">
              <a:solidFill>
                <a:schemeClr val="tx2">
                  <a:lumMod val="90000"/>
                  <a:lumOff val="10000"/>
                </a:schemeClr>
              </a:solidFill>
            </a:rPr>
            <a:t>DATOS</a:t>
          </a:r>
        </a:p>
      </xdr:txBody>
    </xdr:sp>
    <xdr:clientData/>
  </xdr:twoCellAnchor>
  <xdr:twoCellAnchor>
    <xdr:from>
      <xdr:col>1</xdr:col>
      <xdr:colOff>19050</xdr:colOff>
      <xdr:row>10</xdr:row>
      <xdr:rowOff>9525</xdr:rowOff>
    </xdr:from>
    <xdr:to>
      <xdr:col>2</xdr:col>
      <xdr:colOff>304800</xdr:colOff>
      <xdr:row>12</xdr:row>
      <xdr:rowOff>9525</xdr:rowOff>
    </xdr:to>
    <xdr:sp macro="[0]!NUEVOREGISTRO" textlink="">
      <xdr:nvSpPr>
        <xdr:cNvPr id="13" name="Rectángulo: biselado 12">
          <a:extLst>
            <a:ext uri="{FF2B5EF4-FFF2-40B4-BE49-F238E27FC236}">
              <a16:creationId xmlns:a16="http://schemas.microsoft.com/office/drawing/2014/main" id="{1B24D2C7-8459-43B9-866C-87BE5A87F8B1}"/>
            </a:ext>
          </a:extLst>
        </xdr:cNvPr>
        <xdr:cNvSpPr/>
      </xdr:nvSpPr>
      <xdr:spPr>
        <a:xfrm>
          <a:off x="152400" y="1885950"/>
          <a:ext cx="1323975" cy="361950"/>
        </a:xfrm>
        <a:prstGeom prst="bevel">
          <a:avLst/>
        </a:prstGeom>
        <a:solidFill>
          <a:srgbClr val="D6D1F1"/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 kern="1200">
              <a:solidFill>
                <a:schemeClr val="tx2">
                  <a:lumMod val="90000"/>
                  <a:lumOff val="10000"/>
                </a:schemeClr>
              </a:solidFill>
            </a:rPr>
            <a:t>NUEVO REGISTRO</a:t>
          </a:r>
        </a:p>
      </xdr:txBody>
    </xdr:sp>
    <xdr:clientData/>
  </xdr:twoCellAnchor>
  <xdr:twoCellAnchor>
    <xdr:from>
      <xdr:col>2</xdr:col>
      <xdr:colOff>323850</xdr:colOff>
      <xdr:row>10</xdr:row>
      <xdr:rowOff>9525</xdr:rowOff>
    </xdr:from>
    <xdr:to>
      <xdr:col>2</xdr:col>
      <xdr:colOff>1647825</xdr:colOff>
      <xdr:row>12</xdr:row>
      <xdr:rowOff>9525</xdr:rowOff>
    </xdr:to>
    <xdr:sp macro="[0]!BUSCAR" textlink="">
      <xdr:nvSpPr>
        <xdr:cNvPr id="14" name="Rectángulo: biselado 13">
          <a:extLst>
            <a:ext uri="{FF2B5EF4-FFF2-40B4-BE49-F238E27FC236}">
              <a16:creationId xmlns:a16="http://schemas.microsoft.com/office/drawing/2014/main" id="{E589C082-77CA-42BF-A654-23A594264C48}"/>
            </a:ext>
          </a:extLst>
        </xdr:cNvPr>
        <xdr:cNvSpPr/>
      </xdr:nvSpPr>
      <xdr:spPr>
        <a:xfrm>
          <a:off x="1495425" y="1885950"/>
          <a:ext cx="1323975" cy="361950"/>
        </a:xfrm>
        <a:prstGeom prst="bevel">
          <a:avLst/>
        </a:prstGeom>
        <a:solidFill>
          <a:srgbClr val="D6D1F1"/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 b="1" kern="1200">
              <a:solidFill>
                <a:schemeClr val="tx2">
                  <a:lumMod val="90000"/>
                  <a:lumOff val="10000"/>
                </a:schemeClr>
              </a:solidFill>
            </a:rPr>
            <a:t>BUSCAR</a:t>
          </a:r>
        </a:p>
      </xdr:txBody>
    </xdr:sp>
    <xdr:clientData/>
  </xdr:twoCellAnchor>
  <xdr:twoCellAnchor>
    <xdr:from>
      <xdr:col>2</xdr:col>
      <xdr:colOff>1647825</xdr:colOff>
      <xdr:row>10</xdr:row>
      <xdr:rowOff>0</xdr:rowOff>
    </xdr:from>
    <xdr:to>
      <xdr:col>4</xdr:col>
      <xdr:colOff>171450</xdr:colOff>
      <xdr:row>12</xdr:row>
      <xdr:rowOff>0</xdr:rowOff>
    </xdr:to>
    <xdr:sp macro="[0]!ingresos" textlink="">
      <xdr:nvSpPr>
        <xdr:cNvPr id="15" name="Rectángulo: biselado 14">
          <a:extLst>
            <a:ext uri="{FF2B5EF4-FFF2-40B4-BE49-F238E27FC236}">
              <a16:creationId xmlns:a16="http://schemas.microsoft.com/office/drawing/2014/main" id="{B3676B5D-0EA9-4E62-91CE-F76BDF6DE0D5}"/>
            </a:ext>
          </a:extLst>
        </xdr:cNvPr>
        <xdr:cNvSpPr/>
      </xdr:nvSpPr>
      <xdr:spPr>
        <a:xfrm>
          <a:off x="2819400" y="1876425"/>
          <a:ext cx="1323975" cy="361950"/>
        </a:xfrm>
        <a:prstGeom prst="bevel">
          <a:avLst/>
        </a:prstGeom>
        <a:solidFill>
          <a:srgbClr val="D6D1F1"/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 b="1" kern="1200">
              <a:solidFill>
                <a:schemeClr val="tx2">
                  <a:lumMod val="90000"/>
                  <a:lumOff val="10000"/>
                </a:schemeClr>
              </a:solidFill>
            </a:rPr>
            <a:t>INGRESOS</a:t>
          </a:r>
        </a:p>
      </xdr:txBody>
    </xdr:sp>
    <xdr:clientData/>
  </xdr:twoCellAnchor>
  <xdr:twoCellAnchor>
    <xdr:from>
      <xdr:col>4</xdr:col>
      <xdr:colOff>180975</xdr:colOff>
      <xdr:row>10</xdr:row>
      <xdr:rowOff>0</xdr:rowOff>
    </xdr:from>
    <xdr:to>
      <xdr:col>7</xdr:col>
      <xdr:colOff>28575</xdr:colOff>
      <xdr:row>12</xdr:row>
      <xdr:rowOff>0</xdr:rowOff>
    </xdr:to>
    <xdr:sp macro="[0]!salida" textlink="">
      <xdr:nvSpPr>
        <xdr:cNvPr id="16" name="Rectángulo: biselado 15">
          <a:extLst>
            <a:ext uri="{FF2B5EF4-FFF2-40B4-BE49-F238E27FC236}">
              <a16:creationId xmlns:a16="http://schemas.microsoft.com/office/drawing/2014/main" id="{1A135555-1C4D-4305-96ED-81C8BD6337AE}"/>
            </a:ext>
          </a:extLst>
        </xdr:cNvPr>
        <xdr:cNvSpPr/>
      </xdr:nvSpPr>
      <xdr:spPr>
        <a:xfrm>
          <a:off x="4152900" y="1876425"/>
          <a:ext cx="1323975" cy="361950"/>
        </a:xfrm>
        <a:prstGeom prst="bevel">
          <a:avLst/>
        </a:prstGeom>
        <a:solidFill>
          <a:srgbClr val="FFC000"/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 b="1" kern="1200">
              <a:solidFill>
                <a:schemeClr val="tx2">
                  <a:lumMod val="90000"/>
                  <a:lumOff val="10000"/>
                </a:schemeClr>
              </a:solidFill>
            </a:rPr>
            <a:t>SALIDAS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5EFAB2-6124-4295-9163-4109A548728C}" name="Tabla1" displayName="Tabla1" ref="A1:E403" totalsRowShown="0" headerRowDxfId="33" dataDxfId="32">
  <autoFilter ref="A1:E403" xr:uid="{B15EFAB2-6124-4295-9163-4109A548728C}"/>
  <tableColumns count="5">
    <tableColumn id="1" xr3:uid="{B689D650-C20D-4DE5-86BE-113D3666F049}" name="CODIGO" dataDxfId="31"/>
    <tableColumn id="2" xr3:uid="{56772851-802C-4B23-833C-3788D07B159E}" name="DESCRIPCION" dataDxfId="30"/>
    <tableColumn id="3" xr3:uid="{02FA2B72-6B2D-4FC8-8054-C5B93E374DD9}" name="CANTIDAD" dataDxfId="29"/>
    <tableColumn id="4" xr3:uid="{F4290E44-BFA8-489E-A425-FF89B2B22B5C}" name="COSTO" dataDxfId="28"/>
    <tableColumn id="5" xr3:uid="{84581EE7-DAB7-4352-BFDD-F20F22A114BC}" name="FECHA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890578-0230-493C-A502-A05D766BA067}" name="Tabla2" displayName="Tabla2" ref="A1:E109" totalsRowShown="0" headerRowDxfId="26" dataDxfId="24" headerRowBorderDxfId="25" tableBorderDxfId="23" dataCellStyle="Normal">
  <autoFilter ref="A1:E109" xr:uid="{FA890578-0230-493C-A502-A05D766BA067}"/>
  <tableColumns count="5">
    <tableColumn id="1" xr3:uid="{BFC03702-10F9-4899-9D1F-68040AE65D2E}" name="CODIGO" dataDxfId="22" dataCellStyle="Normal"/>
    <tableColumn id="2" xr3:uid="{9C17C830-05E0-4957-85AF-77792F064CF3}" name="DESCRIPCION" dataDxfId="21" dataCellStyle="Normal"/>
    <tableColumn id="3" xr3:uid="{89D463CE-B0EB-4541-BBC4-1E5CAD1F65B7}" name="CANTIDAD" dataDxfId="20" dataCellStyle="Normal"/>
    <tableColumn id="4" xr3:uid="{334DBFFE-4B69-4251-A011-1C50ECE1B314}" name="COSTO" dataDxfId="19" dataCellStyle="Normal"/>
    <tableColumn id="5" xr3:uid="{E67157D0-1484-4A68-8868-21A01187036C}" name="FECHA" dataDxfId="18" dataCellStyle="Norm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1D5A52-D94F-49CD-90DB-E8F3CCA416CA}" name="Tabla3" displayName="Tabla3" ref="A1:E63" totalsRowShown="0" headerRowDxfId="15" dataDxfId="14">
  <autoFilter ref="A1:E63" xr:uid="{181D5A52-D94F-49CD-90DB-E8F3CCA416CA}"/>
  <tableColumns count="5">
    <tableColumn id="1" xr3:uid="{7C8A8BF1-D0A0-4485-B466-5BBB23835C6C}" name="CODIGO" dataDxfId="13"/>
    <tableColumn id="2" xr3:uid="{EDA4D401-D881-44C4-9B46-2DDB3E819092}" name="DESCRIPCION" dataDxfId="12">
      <calculatedColumnFormula>IFERROR(VLOOKUP(A2,ENTRADAS!A:C,2,0),"")</calculatedColumnFormula>
    </tableColumn>
    <tableColumn id="3" xr3:uid="{350F0CE3-37D4-43C9-B695-AC60AC165EE7}" name="ENTRADA" dataDxfId="11">
      <calculatedColumnFormula>SUMIF(ENTRADAS!A:A,INVENTARIO!A2,ENTRADAS!C:C)</calculatedColumnFormula>
    </tableColumn>
    <tableColumn id="4" xr3:uid="{F3246F08-3C28-4D30-9F72-01158E745372}" name="SALIDA" dataDxfId="10">
      <calculatedColumnFormula>SUMIF(SALIDAS!A:A,INVENTARIO!A2,SALIDAS!C:C)</calculatedColumnFormula>
    </tableColumn>
    <tableColumn id="5" xr3:uid="{02C7507C-BC5E-4F4C-8FEE-6826F28F2ECA}" name="INVENTARO" dataDxfId="9">
      <calculatedColumnFormula>C2-D2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EC8E12-3C78-4965-9FB9-A501CFA39031}" name="Tabla4" displayName="Tabla4" ref="A1:E61" totalsRowShown="0" headerRowDxfId="8" dataDxfId="6" headerRowBorderDxfId="7" tableBorderDxfId="5" dataCellStyle="Normal">
  <autoFilter ref="A1:E61" xr:uid="{41EC8E12-3C78-4965-9FB9-A501CFA39031}"/>
  <tableColumns count="5">
    <tableColumn id="1" xr3:uid="{98133D66-78FA-4593-ADD5-72ABA366414A}" name="CODIGO" dataDxfId="4" dataCellStyle="Normal"/>
    <tableColumn id="2" xr3:uid="{797D6B31-D41F-4098-9F13-235EF54BE852}" name="DESCRIPCION" dataDxfId="3" dataCellStyle="Normal">
      <calculatedColumnFormula>IFERROR(VLOOKUP(A2,INVENTARIO!A:E,2,0),"")</calculatedColumnFormula>
    </tableColumn>
    <tableColumn id="3" xr3:uid="{992CFB1A-664E-4E16-B74C-E8EE7D8CA964}" name="EXISTENCIA" dataDxfId="2" dataCellStyle="Normal">
      <calculatedColumnFormula>IFERROR(VLOOKUP(A2,INVENTARIO!A:E,5,0),"")</calculatedColumnFormula>
    </tableColumn>
    <tableColumn id="4" xr3:uid="{6E9883ED-543D-49E5-87E2-36FCE09C4F6F}" name="COSTO" dataDxfId="1" dataCellStyle="Normal">
      <calculatedColumnFormula>IFERROR(VLOOKUP(A2,ENTRADAS!A:E,4,0),"")</calculatedColumnFormula>
    </tableColumn>
    <tableColumn id="5" xr3:uid="{DB916DC2-EE3F-4013-8568-4492017904B0}" name="FECHA" dataDxfId="0" dataCellStyle="Normal">
      <calculatedColumnFormula>TODAY()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E30C-7CE8-4FD3-9D0C-5C352607E562}">
  <sheetPr codeName="Hoja1"/>
  <dimension ref="A1:BA88"/>
  <sheetViews>
    <sheetView showGridLines="0" tabSelected="1" zoomScale="98" zoomScaleNormal="98" workbookViewId="0">
      <pane xSplit="9" topLeftCell="J1" activePane="topRight" state="frozen"/>
      <selection pane="topRight" activeCell="L17" sqref="L17"/>
    </sheetView>
  </sheetViews>
  <sheetFormatPr baseColWidth="10" defaultRowHeight="14.25"/>
  <cols>
    <col min="1" max="1" width="1.75" bestFit="1" customWidth="1"/>
    <col min="2" max="2" width="13.625" bestFit="1" customWidth="1"/>
    <col min="3" max="3" width="36" customWidth="1"/>
    <col min="4" max="4" width="1.875" bestFit="1" customWidth="1"/>
    <col min="5" max="5" width="6.5" bestFit="1" customWidth="1"/>
    <col min="7" max="7" width="1.875" bestFit="1" customWidth="1"/>
    <col min="8" max="8" width="2.375" customWidth="1"/>
    <col min="9" max="9" width="15.5" customWidth="1"/>
    <col min="10" max="10" width="1.625" customWidth="1"/>
    <col min="11" max="11" width="11.75" bestFit="1" customWidth="1"/>
    <col min="12" max="12" width="39.25" bestFit="1" customWidth="1"/>
    <col min="13" max="13" width="3.875" bestFit="1" customWidth="1"/>
    <col min="14" max="14" width="1.75" customWidth="1"/>
    <col min="15" max="15" width="11.75" bestFit="1" customWidth="1"/>
    <col min="16" max="16" width="26.125" bestFit="1" customWidth="1"/>
    <col min="17" max="17" width="4" bestFit="1" customWidth="1"/>
    <col min="18" max="18" width="2.625" bestFit="1" customWidth="1"/>
    <col min="19" max="19" width="11.375" bestFit="1" customWidth="1"/>
    <col min="20" max="20" width="37" bestFit="1" customWidth="1"/>
    <col min="21" max="21" width="4" bestFit="1" customWidth="1"/>
    <col min="22" max="22" width="2.625" bestFit="1" customWidth="1"/>
    <col min="23" max="23" width="11.75" bestFit="1" customWidth="1"/>
    <col min="24" max="24" width="31.75" bestFit="1" customWidth="1"/>
    <col min="25" max="25" width="4" bestFit="1" customWidth="1"/>
    <col min="26" max="26" width="2.25" customWidth="1"/>
    <col min="27" max="27" width="11" bestFit="1" customWidth="1"/>
    <col min="28" max="28" width="39.25" bestFit="1" customWidth="1"/>
    <col min="29" max="29" width="4" bestFit="1" customWidth="1"/>
    <col min="30" max="30" width="2.75" customWidth="1"/>
    <col min="31" max="31" width="11.75" bestFit="1" customWidth="1"/>
    <col min="32" max="32" width="37.375" bestFit="1" customWidth="1"/>
    <col min="33" max="33" width="4" bestFit="1" customWidth="1"/>
    <col min="34" max="34" width="3.125" customWidth="1"/>
    <col min="35" max="35" width="10.75" bestFit="1" customWidth="1"/>
    <col min="36" max="36" width="30.75" bestFit="1" customWidth="1"/>
    <col min="37" max="37" width="4" bestFit="1" customWidth="1"/>
    <col min="38" max="38" width="3.75" customWidth="1"/>
    <col min="40" max="40" width="39.25" bestFit="1" customWidth="1"/>
    <col min="41" max="41" width="4" bestFit="1" customWidth="1"/>
    <col min="42" max="42" width="3.75" customWidth="1"/>
    <col min="43" max="43" width="11.75" bestFit="1" customWidth="1"/>
    <col min="44" max="44" width="39.25" bestFit="1" customWidth="1"/>
    <col min="45" max="45" width="4" bestFit="1" customWidth="1"/>
    <col min="46" max="46" width="3.375" customWidth="1"/>
    <col min="47" max="47" width="11.75" bestFit="1" customWidth="1"/>
    <col min="48" max="48" width="29.25" bestFit="1" customWidth="1"/>
    <col min="49" max="49" width="4" bestFit="1" customWidth="1"/>
    <col min="50" max="50" width="3" customWidth="1"/>
    <col min="51" max="51" width="8.375" customWidth="1"/>
    <col min="52" max="52" width="24" bestFit="1" customWidth="1"/>
    <col min="53" max="53" width="4" bestFit="1" customWidth="1"/>
  </cols>
  <sheetData>
    <row r="1" spans="1:53">
      <c r="A1" s="1"/>
      <c r="B1" s="48" t="s">
        <v>0</v>
      </c>
      <c r="C1" s="49"/>
      <c r="D1" s="49"/>
      <c r="E1" s="49"/>
      <c r="F1" s="49"/>
      <c r="G1" s="50"/>
      <c r="K1" s="19" t="s">
        <v>493</v>
      </c>
      <c r="L1" s="37" t="s">
        <v>2</v>
      </c>
      <c r="M1" s="36" t="s">
        <v>31</v>
      </c>
      <c r="N1" s="20"/>
      <c r="O1" s="14" t="s">
        <v>268</v>
      </c>
      <c r="P1" s="38" t="s">
        <v>269</v>
      </c>
      <c r="Q1" s="36">
        <v>39</v>
      </c>
      <c r="S1" s="14" t="s">
        <v>233</v>
      </c>
      <c r="T1" s="38" t="s">
        <v>234</v>
      </c>
      <c r="U1" s="36">
        <v>78</v>
      </c>
      <c r="W1" s="14" t="s">
        <v>87</v>
      </c>
      <c r="X1" s="38" t="s">
        <v>47</v>
      </c>
      <c r="Y1" s="36">
        <v>117</v>
      </c>
      <c r="AA1" s="14" t="s">
        <v>587</v>
      </c>
      <c r="AB1" s="38" t="s">
        <v>588</v>
      </c>
      <c r="AC1" s="36">
        <v>156</v>
      </c>
      <c r="AE1" s="14" t="s">
        <v>677</v>
      </c>
      <c r="AF1" s="38" t="s">
        <v>716</v>
      </c>
      <c r="AG1" s="36">
        <v>195</v>
      </c>
      <c r="AI1" s="14" t="s">
        <v>313</v>
      </c>
      <c r="AJ1" s="39" t="s">
        <v>314</v>
      </c>
      <c r="AK1" s="36">
        <v>234</v>
      </c>
      <c r="AM1" s="14" t="s">
        <v>67</v>
      </c>
      <c r="AN1" s="14" t="s">
        <v>68</v>
      </c>
      <c r="AO1" s="36">
        <v>273</v>
      </c>
      <c r="AQ1" s="14" t="s">
        <v>13</v>
      </c>
      <c r="AR1" s="14" t="s">
        <v>14</v>
      </c>
      <c r="AS1" s="36">
        <v>312</v>
      </c>
      <c r="AU1" s="14" t="s">
        <v>437</v>
      </c>
      <c r="AV1" s="38" t="s">
        <v>438</v>
      </c>
      <c r="AW1" s="36">
        <v>351</v>
      </c>
      <c r="AY1" s="14" t="s">
        <v>844</v>
      </c>
      <c r="AZ1" s="14" t="s">
        <v>845</v>
      </c>
      <c r="BA1" s="36">
        <v>390</v>
      </c>
    </row>
    <row r="2" spans="1:53">
      <c r="B2" s="51"/>
      <c r="C2" s="52"/>
      <c r="D2" s="52"/>
      <c r="E2" s="52"/>
      <c r="F2" s="52"/>
      <c r="G2" s="53"/>
      <c r="K2" s="14" t="s">
        <v>735</v>
      </c>
      <c r="L2" s="38" t="s">
        <v>736</v>
      </c>
      <c r="M2" s="36">
        <v>1</v>
      </c>
      <c r="N2" s="20"/>
      <c r="O2" s="14" t="s">
        <v>266</v>
      </c>
      <c r="P2" s="38" t="s">
        <v>326</v>
      </c>
      <c r="Q2" s="36">
        <v>40</v>
      </c>
      <c r="S2" s="14" t="s">
        <v>649</v>
      </c>
      <c r="T2" s="38" t="s">
        <v>740</v>
      </c>
      <c r="U2" s="36">
        <v>79</v>
      </c>
      <c r="W2" s="14" t="s">
        <v>86</v>
      </c>
      <c r="X2" s="38" t="s">
        <v>46</v>
      </c>
      <c r="Y2" s="36">
        <v>118</v>
      </c>
      <c r="AA2" s="14" t="s">
        <v>589</v>
      </c>
      <c r="AB2" s="38" t="s">
        <v>590</v>
      </c>
      <c r="AC2" s="36">
        <v>157</v>
      </c>
      <c r="AE2" s="14" t="s">
        <v>423</v>
      </c>
      <c r="AF2" s="38" t="s">
        <v>457</v>
      </c>
      <c r="AG2" s="36">
        <v>196</v>
      </c>
      <c r="AI2" s="38" t="s">
        <v>194</v>
      </c>
      <c r="AJ2" s="14" t="s">
        <v>195</v>
      </c>
      <c r="AK2" s="36">
        <v>235</v>
      </c>
      <c r="AM2" s="14" t="s">
        <v>528</v>
      </c>
      <c r="AN2" s="14" t="s">
        <v>529</v>
      </c>
      <c r="AO2" s="36">
        <v>274</v>
      </c>
      <c r="AQ2" s="14" t="s">
        <v>117</v>
      </c>
      <c r="AR2" s="42" t="s">
        <v>118</v>
      </c>
      <c r="AS2" s="36">
        <v>313</v>
      </c>
      <c r="AU2" s="14" t="s">
        <v>433</v>
      </c>
      <c r="AV2" s="38" t="s">
        <v>434</v>
      </c>
      <c r="AW2" s="36">
        <v>352</v>
      </c>
      <c r="AY2" s="14" t="s">
        <v>846</v>
      </c>
      <c r="AZ2" s="14" t="s">
        <v>847</v>
      </c>
      <c r="BA2" s="36">
        <v>391</v>
      </c>
    </row>
    <row r="3" spans="1:53">
      <c r="B3" s="2"/>
      <c r="C3" s="3"/>
      <c r="D3" s="3"/>
      <c r="E3" s="3"/>
      <c r="F3" s="3"/>
      <c r="G3" s="4"/>
      <c r="K3" s="14" t="s">
        <v>311</v>
      </c>
      <c r="L3" s="38" t="s">
        <v>27</v>
      </c>
      <c r="M3" s="36">
        <v>2</v>
      </c>
      <c r="N3" s="20"/>
      <c r="O3" s="14" t="s">
        <v>265</v>
      </c>
      <c r="P3" s="38" t="s">
        <v>327</v>
      </c>
      <c r="Q3" s="36">
        <v>41</v>
      </c>
      <c r="S3" s="14" t="s">
        <v>645</v>
      </c>
      <c r="T3" s="38" t="s">
        <v>741</v>
      </c>
      <c r="U3" s="36">
        <v>80</v>
      </c>
      <c r="W3" s="14" t="s">
        <v>85</v>
      </c>
      <c r="X3" s="38" t="s">
        <v>45</v>
      </c>
      <c r="Y3" s="36">
        <v>119</v>
      </c>
      <c r="AA3" s="14" t="s">
        <v>310</v>
      </c>
      <c r="AB3" s="38" t="s">
        <v>94</v>
      </c>
      <c r="AC3" s="36">
        <v>158</v>
      </c>
      <c r="AE3" s="14" t="s">
        <v>424</v>
      </c>
      <c r="AF3" s="38" t="s">
        <v>458</v>
      </c>
      <c r="AG3" s="36">
        <v>197</v>
      </c>
      <c r="AI3" s="38" t="s">
        <v>667</v>
      </c>
      <c r="AJ3" s="14" t="s">
        <v>668</v>
      </c>
      <c r="AK3" s="36">
        <v>236</v>
      </c>
      <c r="AM3" s="14" t="s">
        <v>160</v>
      </c>
      <c r="AN3" s="14" t="s">
        <v>161</v>
      </c>
      <c r="AO3" s="36">
        <v>275</v>
      </c>
      <c r="AQ3" s="14" t="s">
        <v>7</v>
      </c>
      <c r="AR3" s="14" t="s">
        <v>8</v>
      </c>
      <c r="AS3" s="36">
        <v>314</v>
      </c>
      <c r="AU3" s="14" t="s">
        <v>435</v>
      </c>
      <c r="AV3" s="38" t="s">
        <v>436</v>
      </c>
      <c r="AW3" s="36">
        <v>353</v>
      </c>
      <c r="AY3" s="14" t="s">
        <v>848</v>
      </c>
      <c r="AZ3" s="14" t="s">
        <v>849</v>
      </c>
      <c r="BA3" s="36">
        <v>392</v>
      </c>
    </row>
    <row r="4" spans="1:53" ht="15.95" customHeight="1">
      <c r="B4" s="5" t="s">
        <v>1</v>
      </c>
      <c r="C4" s="14"/>
      <c r="D4" s="6"/>
      <c r="E4" s="7" t="s">
        <v>4</v>
      </c>
      <c r="F4" s="14"/>
      <c r="G4" s="8"/>
      <c r="K4" s="14" t="s">
        <v>312</v>
      </c>
      <c r="L4" s="38" t="s">
        <v>28</v>
      </c>
      <c r="M4" s="36">
        <v>3</v>
      </c>
      <c r="N4" s="20"/>
      <c r="O4" s="14" t="s">
        <v>456</v>
      </c>
      <c r="P4" s="38" t="s">
        <v>455</v>
      </c>
      <c r="Q4" s="36">
        <v>42</v>
      </c>
      <c r="S4" s="14" t="s">
        <v>647</v>
      </c>
      <c r="T4" s="38" t="s">
        <v>742</v>
      </c>
      <c r="U4" s="36">
        <v>81</v>
      </c>
      <c r="W4" s="14" t="s">
        <v>84</v>
      </c>
      <c r="X4" s="38" t="s">
        <v>44</v>
      </c>
      <c r="Y4" s="36">
        <v>120</v>
      </c>
      <c r="AA4" s="14" t="s">
        <v>591</v>
      </c>
      <c r="AB4" s="38" t="s">
        <v>592</v>
      </c>
      <c r="AC4" s="36">
        <v>159</v>
      </c>
      <c r="AE4" s="14" t="s">
        <v>422</v>
      </c>
      <c r="AF4" s="38" t="s">
        <v>432</v>
      </c>
      <c r="AG4" s="36">
        <v>198</v>
      </c>
      <c r="AI4" s="38" t="s">
        <v>286</v>
      </c>
      <c r="AJ4" s="14" t="s">
        <v>287</v>
      </c>
      <c r="AK4" s="36">
        <v>237</v>
      </c>
      <c r="AM4" s="14" t="s">
        <v>712</v>
      </c>
      <c r="AN4" s="14" t="s">
        <v>713</v>
      </c>
      <c r="AO4" s="36">
        <v>276</v>
      </c>
      <c r="AQ4" s="14" t="s">
        <v>237</v>
      </c>
      <c r="AR4" s="14" t="s">
        <v>238</v>
      </c>
      <c r="AS4" s="36">
        <v>315</v>
      </c>
      <c r="AU4" s="14" t="s">
        <v>771</v>
      </c>
      <c r="AV4" s="38" t="s">
        <v>772</v>
      </c>
      <c r="AW4" s="36">
        <v>354</v>
      </c>
      <c r="AY4" s="14" t="s">
        <v>850</v>
      </c>
      <c r="AZ4" s="14" t="s">
        <v>851</v>
      </c>
      <c r="BA4" s="36">
        <v>393</v>
      </c>
    </row>
    <row r="5" spans="1:53" ht="15" thickBot="1">
      <c r="B5" s="9"/>
      <c r="C5" s="6"/>
      <c r="D5" s="6"/>
      <c r="E5" s="10"/>
      <c r="F5" s="6"/>
      <c r="G5" s="8"/>
      <c r="K5" s="14" t="s">
        <v>467</v>
      </c>
      <c r="L5" s="38" t="s">
        <v>468</v>
      </c>
      <c r="M5" s="36">
        <v>4</v>
      </c>
      <c r="N5" s="20"/>
      <c r="O5" s="14" t="s">
        <v>573</v>
      </c>
      <c r="P5" s="38" t="s">
        <v>574</v>
      </c>
      <c r="Q5" s="36">
        <v>43</v>
      </c>
      <c r="S5" s="14" t="s">
        <v>633</v>
      </c>
      <c r="T5" s="38" t="s">
        <v>743</v>
      </c>
      <c r="U5" s="36">
        <v>82</v>
      </c>
      <c r="W5" s="14" t="s">
        <v>89</v>
      </c>
      <c r="X5" s="38" t="s">
        <v>49</v>
      </c>
      <c r="Y5" s="36">
        <v>121</v>
      </c>
      <c r="AA5" s="14" t="s">
        <v>687</v>
      </c>
      <c r="AB5" s="38" t="s">
        <v>739</v>
      </c>
      <c r="AC5" s="36">
        <v>160</v>
      </c>
      <c r="AE5" s="14" t="s">
        <v>263</v>
      </c>
      <c r="AF5" s="38" t="s">
        <v>264</v>
      </c>
      <c r="AG5" s="36">
        <v>199</v>
      </c>
      <c r="AI5" s="38" t="s">
        <v>288</v>
      </c>
      <c r="AJ5" s="14" t="s">
        <v>289</v>
      </c>
      <c r="AK5" s="36">
        <v>238</v>
      </c>
      <c r="AM5" s="14" t="s">
        <v>17</v>
      </c>
      <c r="AN5" s="14" t="s">
        <v>18</v>
      </c>
      <c r="AO5" s="36">
        <v>277</v>
      </c>
      <c r="AQ5" s="14" t="s">
        <v>512</v>
      </c>
      <c r="AR5" s="14" t="s">
        <v>506</v>
      </c>
      <c r="AS5" s="36">
        <v>316</v>
      </c>
      <c r="AU5" s="14" t="s">
        <v>773</v>
      </c>
      <c r="AV5" s="38" t="s">
        <v>774</v>
      </c>
      <c r="AW5" s="36">
        <v>355</v>
      </c>
      <c r="AY5" s="14" t="s">
        <v>852</v>
      </c>
      <c r="AZ5" s="14" t="s">
        <v>853</v>
      </c>
      <c r="BA5" s="36">
        <v>394</v>
      </c>
    </row>
    <row r="6" spans="1:53" ht="15.95" customHeight="1" thickTop="1">
      <c r="B6" s="5" t="s">
        <v>2</v>
      </c>
      <c r="C6" s="14"/>
      <c r="D6" s="6"/>
      <c r="E6" s="7" t="s">
        <v>5</v>
      </c>
      <c r="F6" s="18"/>
      <c r="G6" s="8"/>
      <c r="I6" s="54" t="s">
        <v>208</v>
      </c>
      <c r="K6" s="14" t="s">
        <v>36</v>
      </c>
      <c r="L6" s="38" t="s">
        <v>42</v>
      </c>
      <c r="M6" s="36">
        <v>5</v>
      </c>
      <c r="N6" s="20"/>
      <c r="O6" s="14" t="s">
        <v>465</v>
      </c>
      <c r="P6" s="38" t="s">
        <v>466</v>
      </c>
      <c r="Q6" s="36">
        <v>44</v>
      </c>
      <c r="S6" s="14" t="s">
        <v>641</v>
      </c>
      <c r="T6" s="38" t="s">
        <v>744</v>
      </c>
      <c r="U6" s="36">
        <v>83</v>
      </c>
      <c r="W6" s="14" t="s">
        <v>477</v>
      </c>
      <c r="X6" s="38" t="s">
        <v>478</v>
      </c>
      <c r="Y6" s="36">
        <v>122</v>
      </c>
      <c r="AA6" s="14" t="s">
        <v>202</v>
      </c>
      <c r="AB6" s="38" t="s">
        <v>203</v>
      </c>
      <c r="AC6" s="36">
        <v>161</v>
      </c>
      <c r="AE6" s="14" t="s">
        <v>491</v>
      </c>
      <c r="AF6" s="38" t="s">
        <v>494</v>
      </c>
      <c r="AG6" s="36">
        <v>200</v>
      </c>
      <c r="AI6" s="38" t="s">
        <v>710</v>
      </c>
      <c r="AJ6" s="14" t="s">
        <v>711</v>
      </c>
      <c r="AK6" s="36">
        <v>239</v>
      </c>
      <c r="AM6" s="14" t="s">
        <v>597</v>
      </c>
      <c r="AN6" s="14" t="s">
        <v>598</v>
      </c>
      <c r="AO6" s="36">
        <v>278</v>
      </c>
      <c r="AQ6" s="14" t="s">
        <v>80</v>
      </c>
      <c r="AR6" s="14" t="s">
        <v>81</v>
      </c>
      <c r="AS6" s="36">
        <v>317</v>
      </c>
      <c r="AU6" s="14" t="s">
        <v>775</v>
      </c>
      <c r="AV6" s="38" t="s">
        <v>776</v>
      </c>
      <c r="AW6" s="36">
        <v>356</v>
      </c>
      <c r="AY6" s="14" t="s">
        <v>854</v>
      </c>
      <c r="AZ6" s="14" t="s">
        <v>855</v>
      </c>
      <c r="BA6" s="36">
        <v>395</v>
      </c>
    </row>
    <row r="7" spans="1:53">
      <c r="B7" s="9"/>
      <c r="C7" s="6"/>
      <c r="D7" s="6"/>
      <c r="E7" s="6"/>
      <c r="F7" s="6"/>
      <c r="G7" s="8"/>
      <c r="I7" s="55"/>
      <c r="K7" s="14" t="s">
        <v>37</v>
      </c>
      <c r="L7" s="38" t="s">
        <v>40</v>
      </c>
      <c r="M7" s="36">
        <v>6</v>
      </c>
      <c r="N7" s="20"/>
      <c r="O7" s="14" t="s">
        <v>244</v>
      </c>
      <c r="P7" s="38" t="s">
        <v>246</v>
      </c>
      <c r="Q7" s="36">
        <v>45</v>
      </c>
      <c r="S7" s="14" t="s">
        <v>643</v>
      </c>
      <c r="T7" s="38" t="s">
        <v>745</v>
      </c>
      <c r="U7" s="36">
        <v>84</v>
      </c>
      <c r="W7" s="14" t="s">
        <v>90</v>
      </c>
      <c r="X7" s="38" t="s">
        <v>50</v>
      </c>
      <c r="Y7" s="36">
        <v>123</v>
      </c>
      <c r="AA7" s="14" t="s">
        <v>235</v>
      </c>
      <c r="AB7" s="38" t="s">
        <v>236</v>
      </c>
      <c r="AC7" s="36">
        <v>162</v>
      </c>
      <c r="AE7" s="14" t="s">
        <v>492</v>
      </c>
      <c r="AF7" s="38" t="s">
        <v>495</v>
      </c>
      <c r="AG7" s="36">
        <v>201</v>
      </c>
      <c r="AI7" s="38" t="s">
        <v>308</v>
      </c>
      <c r="AJ7" s="14" t="s">
        <v>309</v>
      </c>
      <c r="AK7" s="36">
        <v>240</v>
      </c>
      <c r="AM7" s="14" t="s">
        <v>600</v>
      </c>
      <c r="AN7" s="14" t="s">
        <v>601</v>
      </c>
      <c r="AO7" s="36">
        <v>279</v>
      </c>
      <c r="AQ7" s="14" t="s">
        <v>261</v>
      </c>
      <c r="AR7" s="14" t="s">
        <v>262</v>
      </c>
      <c r="AS7" s="36">
        <v>318</v>
      </c>
      <c r="AU7" s="14" t="s">
        <v>777</v>
      </c>
      <c r="AV7" s="38" t="s">
        <v>778</v>
      </c>
      <c r="AW7" s="36">
        <v>357</v>
      </c>
      <c r="AY7" s="14" t="s">
        <v>857</v>
      </c>
      <c r="AZ7" s="14" t="s">
        <v>856</v>
      </c>
      <c r="BA7" s="36">
        <v>396</v>
      </c>
    </row>
    <row r="8" spans="1:53" ht="15.95" customHeight="1">
      <c r="B8" s="5" t="s">
        <v>3</v>
      </c>
      <c r="C8" s="14"/>
      <c r="D8" s="6"/>
      <c r="E8" s="6"/>
      <c r="F8" s="6"/>
      <c r="G8" s="8"/>
      <c r="I8" s="55"/>
      <c r="K8" s="14" t="s">
        <v>38</v>
      </c>
      <c r="L8" s="38" t="s">
        <v>41</v>
      </c>
      <c r="M8" s="36">
        <v>7</v>
      </c>
      <c r="N8" s="20"/>
      <c r="O8" s="14" t="s">
        <v>245</v>
      </c>
      <c r="P8" s="38" t="s">
        <v>247</v>
      </c>
      <c r="Q8" s="36">
        <v>46</v>
      </c>
      <c r="S8" s="14" t="s">
        <v>627</v>
      </c>
      <c r="T8" s="38" t="s">
        <v>746</v>
      </c>
      <c r="U8" s="36">
        <v>85</v>
      </c>
      <c r="W8" s="14" t="s">
        <v>91</v>
      </c>
      <c r="X8" s="38" t="s">
        <v>51</v>
      </c>
      <c r="Y8" s="36">
        <v>124</v>
      </c>
      <c r="AA8" s="14" t="s">
        <v>489</v>
      </c>
      <c r="AB8" s="38" t="s">
        <v>490</v>
      </c>
      <c r="AC8" s="36">
        <v>163</v>
      </c>
      <c r="AE8" s="14" t="s">
        <v>671</v>
      </c>
      <c r="AF8" s="38" t="s">
        <v>719</v>
      </c>
      <c r="AG8" s="36">
        <v>202</v>
      </c>
      <c r="AI8" s="14" t="s">
        <v>307</v>
      </c>
      <c r="AJ8" s="40" t="s">
        <v>306</v>
      </c>
      <c r="AK8" s="36">
        <v>241</v>
      </c>
      <c r="AM8" s="14" t="s">
        <v>602</v>
      </c>
      <c r="AN8" s="14" t="s">
        <v>603</v>
      </c>
      <c r="AO8" s="36">
        <v>280</v>
      </c>
      <c r="AQ8" s="14" t="s">
        <v>672</v>
      </c>
      <c r="AR8" s="14" t="s">
        <v>718</v>
      </c>
      <c r="AS8" s="36">
        <v>319</v>
      </c>
      <c r="AU8" s="14" t="s">
        <v>779</v>
      </c>
      <c r="AV8" s="38" t="s">
        <v>780</v>
      </c>
      <c r="AW8" s="36">
        <v>358</v>
      </c>
      <c r="AY8" s="14" t="s">
        <v>858</v>
      </c>
      <c r="AZ8" s="14" t="s">
        <v>859</v>
      </c>
      <c r="BA8" s="36">
        <v>397</v>
      </c>
    </row>
    <row r="9" spans="1:53" ht="15" customHeight="1">
      <c r="B9" s="11"/>
      <c r="C9" s="12"/>
      <c r="D9" s="12"/>
      <c r="E9" s="12"/>
      <c r="F9" s="12"/>
      <c r="G9" s="13"/>
      <c r="I9" s="55"/>
      <c r="K9" s="14" t="s">
        <v>347</v>
      </c>
      <c r="L9" s="38" t="s">
        <v>346</v>
      </c>
      <c r="M9" s="36">
        <v>8</v>
      </c>
      <c r="N9" s="20"/>
      <c r="O9" s="14" t="s">
        <v>242</v>
      </c>
      <c r="P9" s="38" t="s">
        <v>249</v>
      </c>
      <c r="Q9" s="36">
        <v>47</v>
      </c>
      <c r="S9" s="14" t="s">
        <v>628</v>
      </c>
      <c r="T9" s="38" t="s">
        <v>747</v>
      </c>
      <c r="U9" s="36">
        <v>86</v>
      </c>
      <c r="W9" s="14" t="s">
        <v>88</v>
      </c>
      <c r="X9" s="38" t="s">
        <v>48</v>
      </c>
      <c r="Y9" s="36">
        <v>125</v>
      </c>
      <c r="AA9" s="14" t="s">
        <v>175</v>
      </c>
      <c r="AB9" s="38" t="s">
        <v>176</v>
      </c>
      <c r="AC9" s="36">
        <v>164</v>
      </c>
      <c r="AE9" s="14" t="s">
        <v>119</v>
      </c>
      <c r="AF9" s="38" t="s">
        <v>120</v>
      </c>
      <c r="AG9" s="36">
        <v>203</v>
      </c>
      <c r="AI9" s="14" t="s">
        <v>131</v>
      </c>
      <c r="AJ9" s="40" t="s">
        <v>132</v>
      </c>
      <c r="AK9" s="36">
        <v>242</v>
      </c>
      <c r="AM9" s="14" t="s">
        <v>604</v>
      </c>
      <c r="AN9" s="14" t="s">
        <v>605</v>
      </c>
      <c r="AO9" s="36">
        <v>281</v>
      </c>
      <c r="AQ9" s="14" t="s">
        <v>701</v>
      </c>
      <c r="AR9" s="14" t="s">
        <v>702</v>
      </c>
      <c r="AS9" s="36">
        <v>320</v>
      </c>
      <c r="AU9" s="14" t="s">
        <v>781</v>
      </c>
      <c r="AV9" s="38" t="s">
        <v>782</v>
      </c>
      <c r="AW9" s="36">
        <v>359</v>
      </c>
      <c r="AY9" s="14" t="s">
        <v>860</v>
      </c>
      <c r="AZ9" s="14" t="s">
        <v>861</v>
      </c>
      <c r="BA9" s="36">
        <v>398</v>
      </c>
    </row>
    <row r="10" spans="1:53">
      <c r="I10" s="55"/>
      <c r="K10" s="14" t="s">
        <v>348</v>
      </c>
      <c r="L10" s="38" t="s">
        <v>349</v>
      </c>
      <c r="M10" s="36">
        <v>9</v>
      </c>
      <c r="N10" s="20"/>
      <c r="O10" s="14" t="s">
        <v>243</v>
      </c>
      <c r="P10" s="38" t="s">
        <v>250</v>
      </c>
      <c r="Q10" s="36">
        <v>48</v>
      </c>
      <c r="S10" s="14" t="s">
        <v>629</v>
      </c>
      <c r="T10" s="38" t="s">
        <v>748</v>
      </c>
      <c r="U10" s="36">
        <v>87</v>
      </c>
      <c r="W10" s="14" t="s">
        <v>514</v>
      </c>
      <c r="X10" s="38" t="s">
        <v>508</v>
      </c>
      <c r="Y10" s="36">
        <v>126</v>
      </c>
      <c r="AA10" s="14" t="s">
        <v>524</v>
      </c>
      <c r="AB10" s="38" t="s">
        <v>525</v>
      </c>
      <c r="AC10" s="36">
        <v>165</v>
      </c>
      <c r="AE10" s="14" t="s">
        <v>232</v>
      </c>
      <c r="AF10" s="38" t="s">
        <v>231</v>
      </c>
      <c r="AG10" s="36">
        <v>204</v>
      </c>
      <c r="AI10" s="14" t="s">
        <v>133</v>
      </c>
      <c r="AJ10" s="38" t="s">
        <v>134</v>
      </c>
      <c r="AK10" s="36">
        <v>243</v>
      </c>
      <c r="AM10" s="14" t="s">
        <v>606</v>
      </c>
      <c r="AN10" s="14" t="s">
        <v>607</v>
      </c>
      <c r="AO10" s="36">
        <v>282</v>
      </c>
      <c r="AQ10" s="14" t="s">
        <v>708</v>
      </c>
      <c r="AR10" s="14" t="s">
        <v>709</v>
      </c>
      <c r="AS10" s="36">
        <v>321</v>
      </c>
      <c r="AU10" s="14" t="s">
        <v>783</v>
      </c>
      <c r="AV10" s="38" t="s">
        <v>784</v>
      </c>
      <c r="AW10" s="36">
        <v>360</v>
      </c>
      <c r="AY10" s="14" t="s">
        <v>863</v>
      </c>
      <c r="AZ10" s="14" t="s">
        <v>862</v>
      </c>
      <c r="BA10" s="36">
        <v>399</v>
      </c>
    </row>
    <row r="11" spans="1:53">
      <c r="I11" s="55"/>
      <c r="K11" s="14" t="s">
        <v>350</v>
      </c>
      <c r="L11" s="38" t="s">
        <v>351</v>
      </c>
      <c r="M11" s="36">
        <v>10</v>
      </c>
      <c r="N11" s="20"/>
      <c r="O11" s="14" t="s">
        <v>241</v>
      </c>
      <c r="P11" s="38" t="s">
        <v>248</v>
      </c>
      <c r="Q11" s="36">
        <v>49</v>
      </c>
      <c r="S11" s="14" t="s">
        <v>630</v>
      </c>
      <c r="T11" s="38" t="s">
        <v>749</v>
      </c>
      <c r="U11" s="36">
        <v>88</v>
      </c>
      <c r="W11" s="14" t="s">
        <v>516</v>
      </c>
      <c r="X11" s="38" t="s">
        <v>510</v>
      </c>
      <c r="Y11" s="36">
        <v>127</v>
      </c>
      <c r="AA11" s="14" t="s">
        <v>523</v>
      </c>
      <c r="AB11" s="38" t="s">
        <v>522</v>
      </c>
      <c r="AC11" s="36">
        <v>166</v>
      </c>
      <c r="AE11" s="14" t="s">
        <v>427</v>
      </c>
      <c r="AF11" s="38" t="s">
        <v>431</v>
      </c>
      <c r="AG11" s="36">
        <v>205</v>
      </c>
      <c r="AI11" s="14" t="s">
        <v>177</v>
      </c>
      <c r="AJ11" s="38" t="s">
        <v>178</v>
      </c>
      <c r="AK11" s="36">
        <v>244</v>
      </c>
      <c r="AM11" s="14" t="s">
        <v>608</v>
      </c>
      <c r="AN11" s="14" t="s">
        <v>609</v>
      </c>
      <c r="AO11" s="36">
        <v>283</v>
      </c>
      <c r="AQ11" s="14" t="s">
        <v>71</v>
      </c>
      <c r="AR11" s="14" t="s">
        <v>72</v>
      </c>
      <c r="AS11" s="36">
        <v>322</v>
      </c>
      <c r="AU11" s="14" t="s">
        <v>785</v>
      </c>
      <c r="AV11" s="38" t="s">
        <v>786</v>
      </c>
      <c r="AW11" s="36">
        <v>361</v>
      </c>
      <c r="AY11" s="14" t="s">
        <v>864</v>
      </c>
      <c r="AZ11" s="14" t="s">
        <v>865</v>
      </c>
      <c r="BA11" s="36">
        <v>400</v>
      </c>
    </row>
    <row r="12" spans="1:53" ht="15" thickBot="1">
      <c r="I12" s="56"/>
      <c r="K12" s="14" t="s">
        <v>188</v>
      </c>
      <c r="L12" s="38" t="s">
        <v>728</v>
      </c>
      <c r="M12" s="36">
        <v>11</v>
      </c>
      <c r="N12" s="20"/>
      <c r="O12" s="14" t="s">
        <v>220</v>
      </c>
      <c r="P12" s="38" t="s">
        <v>224</v>
      </c>
      <c r="Q12" s="36">
        <v>50</v>
      </c>
      <c r="S12" s="14" t="s">
        <v>631</v>
      </c>
      <c r="T12" s="38" t="s">
        <v>750</v>
      </c>
      <c r="U12" s="36">
        <v>89</v>
      </c>
      <c r="W12" s="14" t="s">
        <v>82</v>
      </c>
      <c r="X12" s="38" t="s">
        <v>83</v>
      </c>
      <c r="Y12" s="36">
        <v>128</v>
      </c>
      <c r="AA12" s="14" t="s">
        <v>669</v>
      </c>
      <c r="AB12" s="38" t="s">
        <v>670</v>
      </c>
      <c r="AC12" s="36">
        <v>167</v>
      </c>
      <c r="AE12" s="14" t="s">
        <v>595</v>
      </c>
      <c r="AF12" s="38" t="s">
        <v>596</v>
      </c>
      <c r="AG12" s="36">
        <v>206</v>
      </c>
      <c r="AI12" s="14" t="s">
        <v>179</v>
      </c>
      <c r="AJ12" s="38" t="s">
        <v>180</v>
      </c>
      <c r="AK12" s="36">
        <v>245</v>
      </c>
      <c r="AM12" s="14" t="s">
        <v>610</v>
      </c>
      <c r="AN12" s="14" t="s">
        <v>611</v>
      </c>
      <c r="AO12" s="36">
        <v>284</v>
      </c>
      <c r="AQ12" s="14" t="s">
        <v>73</v>
      </c>
      <c r="AR12" s="14" t="s">
        <v>74</v>
      </c>
      <c r="AS12" s="36">
        <v>323</v>
      </c>
      <c r="AU12" s="14" t="s">
        <v>787</v>
      </c>
      <c r="AV12" s="38" t="s">
        <v>788</v>
      </c>
      <c r="AW12" s="36">
        <v>362</v>
      </c>
      <c r="AY12" s="14" t="s">
        <v>867</v>
      </c>
      <c r="AZ12" s="14" t="s">
        <v>866</v>
      </c>
      <c r="BA12" s="36">
        <v>401</v>
      </c>
    </row>
    <row r="13" spans="1:53" ht="15" thickTop="1">
      <c r="K13" s="14" t="s">
        <v>21</v>
      </c>
      <c r="L13" s="38" t="s">
        <v>22</v>
      </c>
      <c r="M13" s="36">
        <v>12</v>
      </c>
      <c r="N13" s="20"/>
      <c r="O13" s="14" t="s">
        <v>217</v>
      </c>
      <c r="P13" s="38" t="s">
        <v>221</v>
      </c>
      <c r="Q13" s="36">
        <v>51</v>
      </c>
      <c r="S13" s="14" t="s">
        <v>632</v>
      </c>
      <c r="T13" s="38" t="s">
        <v>751</v>
      </c>
      <c r="U13" s="36">
        <v>90</v>
      </c>
      <c r="W13" s="14" t="s">
        <v>34</v>
      </c>
      <c r="X13" s="38" t="s">
        <v>39</v>
      </c>
      <c r="Y13" s="36">
        <v>129</v>
      </c>
      <c r="AA13" s="14" t="s">
        <v>337</v>
      </c>
      <c r="AB13" s="38" t="s">
        <v>338</v>
      </c>
      <c r="AC13" s="36">
        <v>168</v>
      </c>
      <c r="AE13" s="14" t="s">
        <v>61</v>
      </c>
      <c r="AF13" s="38" t="s">
        <v>59</v>
      </c>
      <c r="AG13" s="36">
        <v>207</v>
      </c>
      <c r="AI13" s="14" t="s">
        <v>116</v>
      </c>
      <c r="AJ13" s="38" t="s">
        <v>108</v>
      </c>
      <c r="AK13" s="36">
        <v>246</v>
      </c>
      <c r="AM13" s="14" t="s">
        <v>612</v>
      </c>
      <c r="AN13" s="14" t="s">
        <v>613</v>
      </c>
      <c r="AO13" s="36">
        <v>285</v>
      </c>
      <c r="AQ13" s="14" t="s">
        <v>498</v>
      </c>
      <c r="AR13" s="14" t="s">
        <v>499</v>
      </c>
      <c r="AS13" s="36">
        <v>324</v>
      </c>
      <c r="AU13" s="14" t="s">
        <v>789</v>
      </c>
      <c r="AV13" s="38" t="s">
        <v>790</v>
      </c>
      <c r="AW13" s="36">
        <v>363</v>
      </c>
      <c r="AY13" s="14" t="s">
        <v>868</v>
      </c>
      <c r="AZ13" s="14" t="s">
        <v>869</v>
      </c>
      <c r="BA13" s="36">
        <v>402</v>
      </c>
    </row>
    <row r="14" spans="1:53">
      <c r="K14" s="14" t="s">
        <v>323</v>
      </c>
      <c r="L14" s="38" t="s">
        <v>324</v>
      </c>
      <c r="M14" s="36">
        <v>13</v>
      </c>
      <c r="N14" s="20"/>
      <c r="O14" s="14" t="s">
        <v>218</v>
      </c>
      <c r="P14" s="38" t="s">
        <v>222</v>
      </c>
      <c r="Q14" s="36">
        <v>52</v>
      </c>
      <c r="S14" s="14" t="s">
        <v>616</v>
      </c>
      <c r="T14" s="38" t="s">
        <v>752</v>
      </c>
      <c r="U14" s="36">
        <v>91</v>
      </c>
      <c r="W14" s="14" t="s">
        <v>653</v>
      </c>
      <c r="X14" s="38" t="s">
        <v>654</v>
      </c>
      <c r="Y14" s="36">
        <v>130</v>
      </c>
      <c r="AA14" s="14" t="s">
        <v>103</v>
      </c>
      <c r="AB14" s="38" t="s">
        <v>105</v>
      </c>
      <c r="AC14" s="36">
        <v>169</v>
      </c>
      <c r="AE14" s="14" t="s">
        <v>62</v>
      </c>
      <c r="AF14" s="38" t="s">
        <v>325</v>
      </c>
      <c r="AG14" s="36">
        <v>208</v>
      </c>
      <c r="AI14" s="14" t="s">
        <v>115</v>
      </c>
      <c r="AJ14" s="38" t="s">
        <v>107</v>
      </c>
      <c r="AK14" s="36">
        <v>247</v>
      </c>
      <c r="AM14" s="14" t="s">
        <v>614</v>
      </c>
      <c r="AN14" s="14" t="s">
        <v>615</v>
      </c>
      <c r="AO14" s="36">
        <v>286</v>
      </c>
      <c r="AQ14" s="14" t="s">
        <v>496</v>
      </c>
      <c r="AR14" s="14" t="s">
        <v>497</v>
      </c>
      <c r="AS14" s="36">
        <v>325</v>
      </c>
      <c r="AU14" s="14" t="s">
        <v>791</v>
      </c>
      <c r="AV14" s="38" t="s">
        <v>792</v>
      </c>
      <c r="AW14" s="36">
        <v>364</v>
      </c>
      <c r="AY14" s="14" t="s">
        <v>870</v>
      </c>
      <c r="AZ14" s="14" t="s">
        <v>871</v>
      </c>
      <c r="BA14" s="36">
        <v>403</v>
      </c>
    </row>
    <row r="15" spans="1:53">
      <c r="K15" s="14" t="s">
        <v>549</v>
      </c>
      <c r="L15" s="38" t="s">
        <v>550</v>
      </c>
      <c r="M15" s="36">
        <v>14</v>
      </c>
      <c r="N15" s="20"/>
      <c r="O15" s="14" t="s">
        <v>219</v>
      </c>
      <c r="P15" s="38" t="s">
        <v>223</v>
      </c>
      <c r="Q15" s="36">
        <v>53</v>
      </c>
      <c r="S15" s="14" t="s">
        <v>620</v>
      </c>
      <c r="T15" s="38" t="s">
        <v>753</v>
      </c>
      <c r="U15" s="36">
        <v>92</v>
      </c>
      <c r="W15" s="14" t="s">
        <v>534</v>
      </c>
      <c r="X15" s="38" t="s">
        <v>535</v>
      </c>
      <c r="Y15" s="36">
        <v>131</v>
      </c>
      <c r="AA15" s="14" t="s">
        <v>104</v>
      </c>
      <c r="AB15" s="38" t="s">
        <v>106</v>
      </c>
      <c r="AC15" s="36">
        <v>170</v>
      </c>
      <c r="AE15" s="14" t="s">
        <v>479</v>
      </c>
      <c r="AF15" s="14" t="s">
        <v>480</v>
      </c>
      <c r="AG15" s="36">
        <v>209</v>
      </c>
      <c r="AI15" s="14" t="s">
        <v>382</v>
      </c>
      <c r="AJ15" s="38" t="s">
        <v>762</v>
      </c>
      <c r="AK15" s="36">
        <v>248</v>
      </c>
      <c r="AM15" s="14" t="s">
        <v>333</v>
      </c>
      <c r="AN15" s="14" t="s">
        <v>334</v>
      </c>
      <c r="AO15" s="36">
        <v>287</v>
      </c>
      <c r="AQ15" s="14" t="s">
        <v>19</v>
      </c>
      <c r="AR15" s="14" t="s">
        <v>20</v>
      </c>
      <c r="AS15" s="36">
        <v>326</v>
      </c>
      <c r="AU15" s="14" t="s">
        <v>793</v>
      </c>
      <c r="AV15" s="38" t="s">
        <v>794</v>
      </c>
      <c r="AW15" s="36">
        <v>365</v>
      </c>
      <c r="AY15" s="14" t="s">
        <v>872</v>
      </c>
      <c r="AZ15" s="14" t="s">
        <v>873</v>
      </c>
      <c r="BA15" s="36">
        <v>404</v>
      </c>
    </row>
    <row r="16" spans="1:53">
      <c r="K16" s="14" t="s">
        <v>547</v>
      </c>
      <c r="L16" s="38" t="s">
        <v>548</v>
      </c>
      <c r="M16" s="36">
        <v>15</v>
      </c>
      <c r="N16" s="20"/>
      <c r="O16" s="14" t="s">
        <v>280</v>
      </c>
      <c r="P16" s="38" t="s">
        <v>281</v>
      </c>
      <c r="Q16" s="36">
        <v>54</v>
      </c>
      <c r="S16" s="14" t="s">
        <v>617</v>
      </c>
      <c r="T16" s="38" t="s">
        <v>754</v>
      </c>
      <c r="U16" s="36">
        <v>93</v>
      </c>
      <c r="W16" s="14" t="s">
        <v>526</v>
      </c>
      <c r="X16" s="38" t="s">
        <v>527</v>
      </c>
      <c r="Y16" s="36">
        <v>132</v>
      </c>
      <c r="AA16" s="14" t="s">
        <v>661</v>
      </c>
      <c r="AB16" s="38" t="s">
        <v>715</v>
      </c>
      <c r="AC16" s="36">
        <v>171</v>
      </c>
      <c r="AE16" s="14" t="s">
        <v>481</v>
      </c>
      <c r="AF16" s="14" t="s">
        <v>482</v>
      </c>
      <c r="AG16" s="36">
        <v>210</v>
      </c>
      <c r="AI16" s="14" t="s">
        <v>372</v>
      </c>
      <c r="AJ16" s="38" t="s">
        <v>763</v>
      </c>
      <c r="AK16" s="36">
        <v>249</v>
      </c>
      <c r="AM16" s="14" t="s">
        <v>54</v>
      </c>
      <c r="AN16" s="14" t="s">
        <v>191</v>
      </c>
      <c r="AO16" s="36">
        <v>288</v>
      </c>
      <c r="AQ16" s="14" t="s">
        <v>487</v>
      </c>
      <c r="AR16" s="14" t="s">
        <v>488</v>
      </c>
      <c r="AS16" s="36">
        <v>327</v>
      </c>
      <c r="AU16" s="14" t="s">
        <v>795</v>
      </c>
      <c r="AV16" s="38" t="s">
        <v>796</v>
      </c>
      <c r="AW16" s="36">
        <v>366</v>
      </c>
      <c r="AY16" s="14" t="s">
        <v>874</v>
      </c>
      <c r="AZ16" s="14" t="s">
        <v>875</v>
      </c>
      <c r="BA16" s="36">
        <v>405</v>
      </c>
    </row>
    <row r="17" spans="11:53">
      <c r="K17" s="14" t="s">
        <v>545</v>
      </c>
      <c r="L17" s="38" t="s">
        <v>546</v>
      </c>
      <c r="M17" s="36">
        <v>16</v>
      </c>
      <c r="N17" s="20"/>
      <c r="O17" s="14" t="s">
        <v>282</v>
      </c>
      <c r="P17" s="38" t="s">
        <v>283</v>
      </c>
      <c r="Q17" s="36">
        <v>55</v>
      </c>
      <c r="S17" s="14" t="s">
        <v>618</v>
      </c>
      <c r="T17" s="38" t="s">
        <v>755</v>
      </c>
      <c r="U17" s="36">
        <v>94</v>
      </c>
      <c r="W17" s="14" t="s">
        <v>551</v>
      </c>
      <c r="X17" s="38" t="s">
        <v>552</v>
      </c>
      <c r="Y17" s="36">
        <v>133</v>
      </c>
      <c r="AA17" s="14" t="s">
        <v>662</v>
      </c>
      <c r="AB17" s="38" t="s">
        <v>723</v>
      </c>
      <c r="AC17" s="36">
        <v>172</v>
      </c>
      <c r="AE17" s="14" t="s">
        <v>483</v>
      </c>
      <c r="AF17" s="14" t="s">
        <v>484</v>
      </c>
      <c r="AG17" s="36">
        <v>211</v>
      </c>
      <c r="AI17" s="14" t="s">
        <v>376</v>
      </c>
      <c r="AJ17" s="38" t="s">
        <v>764</v>
      </c>
      <c r="AK17" s="36">
        <v>250</v>
      </c>
      <c r="AM17" s="14" t="s">
        <v>189</v>
      </c>
      <c r="AN17" s="14" t="s">
        <v>190</v>
      </c>
      <c r="AO17" s="36">
        <v>289</v>
      </c>
      <c r="AQ17" s="35" t="s">
        <v>408</v>
      </c>
      <c r="AR17" s="41" t="s">
        <v>409</v>
      </c>
      <c r="AS17" s="36">
        <v>328</v>
      </c>
      <c r="AU17" s="14" t="s">
        <v>797</v>
      </c>
      <c r="AV17" s="38" t="s">
        <v>798</v>
      </c>
      <c r="AW17" s="36">
        <v>367</v>
      </c>
      <c r="AY17" s="14" t="s">
        <v>876</v>
      </c>
      <c r="AZ17" s="14" t="s">
        <v>877</v>
      </c>
      <c r="BA17" s="36">
        <v>406</v>
      </c>
    </row>
    <row r="18" spans="11:53">
      <c r="K18" s="14" t="s">
        <v>53</v>
      </c>
      <c r="L18" s="38" t="s">
        <v>52</v>
      </c>
      <c r="M18" s="36">
        <v>17</v>
      </c>
      <c r="N18" s="20"/>
      <c r="O18" s="14" t="s">
        <v>278</v>
      </c>
      <c r="P18" s="38" t="s">
        <v>279</v>
      </c>
      <c r="Q18" s="36">
        <v>56</v>
      </c>
      <c r="S18" s="14" t="s">
        <v>626</v>
      </c>
      <c r="T18" s="38" t="s">
        <v>756</v>
      </c>
      <c r="U18" s="36">
        <v>95</v>
      </c>
      <c r="W18" s="14" t="s">
        <v>553</v>
      </c>
      <c r="X18" s="38" t="s">
        <v>554</v>
      </c>
      <c r="Y18" s="36">
        <v>134</v>
      </c>
      <c r="AA18" s="14" t="s">
        <v>698</v>
      </c>
      <c r="AB18" s="38" t="s">
        <v>699</v>
      </c>
      <c r="AC18" s="36">
        <v>173</v>
      </c>
      <c r="AE18" s="14" t="s">
        <v>737</v>
      </c>
      <c r="AF18" s="14" t="s">
        <v>738</v>
      </c>
      <c r="AG18" s="36">
        <v>212</v>
      </c>
      <c r="AI18" s="14" t="s">
        <v>384</v>
      </c>
      <c r="AJ18" s="38" t="s">
        <v>765</v>
      </c>
      <c r="AK18" s="36">
        <v>251</v>
      </c>
      <c r="AM18" s="14" t="s">
        <v>206</v>
      </c>
      <c r="AN18" s="14" t="s">
        <v>207</v>
      </c>
      <c r="AO18" s="36">
        <v>290</v>
      </c>
      <c r="AQ18" s="35" t="s">
        <v>404</v>
      </c>
      <c r="AR18" s="41" t="s">
        <v>405</v>
      </c>
      <c r="AS18" s="36">
        <v>329</v>
      </c>
      <c r="AU18" s="14" t="s">
        <v>799</v>
      </c>
      <c r="AV18" s="38" t="s">
        <v>800</v>
      </c>
      <c r="AW18" s="36">
        <v>368</v>
      </c>
      <c r="AY18" s="14" t="s">
        <v>878</v>
      </c>
      <c r="AZ18" s="14" t="s">
        <v>879</v>
      </c>
      <c r="BA18" s="36">
        <v>407</v>
      </c>
    </row>
    <row r="19" spans="11:53">
      <c r="K19" s="14" t="s">
        <v>678</v>
      </c>
      <c r="L19" s="38" t="s">
        <v>717</v>
      </c>
      <c r="M19" s="36">
        <v>18</v>
      </c>
      <c r="N19" s="20"/>
      <c r="O19" s="14" t="s">
        <v>272</v>
      </c>
      <c r="P19" s="38" t="s">
        <v>273</v>
      </c>
      <c r="Q19" s="36">
        <v>57</v>
      </c>
      <c r="S19" s="14" t="s">
        <v>144</v>
      </c>
      <c r="T19" s="38" t="s">
        <v>145</v>
      </c>
      <c r="U19" s="36">
        <v>96</v>
      </c>
      <c r="W19" s="14" t="s">
        <v>555</v>
      </c>
      <c r="X19" s="38" t="s">
        <v>556</v>
      </c>
      <c r="Y19" s="36">
        <v>135</v>
      </c>
      <c r="AA19" s="14" t="s">
        <v>55</v>
      </c>
      <c r="AB19" s="38" t="s">
        <v>56</v>
      </c>
      <c r="AC19" s="36">
        <v>174</v>
      </c>
      <c r="AE19" s="14" t="s">
        <v>335</v>
      </c>
      <c r="AF19" s="14" t="s">
        <v>460</v>
      </c>
      <c r="AG19" s="36">
        <v>213</v>
      </c>
      <c r="AI19" s="14" t="s">
        <v>373</v>
      </c>
      <c r="AJ19" s="38" t="s">
        <v>766</v>
      </c>
      <c r="AK19" s="36">
        <v>252</v>
      </c>
      <c r="AM19" s="14" t="s">
        <v>204</v>
      </c>
      <c r="AN19" s="14" t="s">
        <v>205</v>
      </c>
      <c r="AO19" s="36">
        <v>291</v>
      </c>
      <c r="AQ19" s="35" t="s">
        <v>406</v>
      </c>
      <c r="AR19" s="41" t="s">
        <v>407</v>
      </c>
      <c r="AS19" s="36">
        <v>330</v>
      </c>
      <c r="AU19" s="14" t="s">
        <v>801</v>
      </c>
      <c r="AV19" s="38" t="s">
        <v>802</v>
      </c>
      <c r="AW19" s="36">
        <v>369</v>
      </c>
      <c r="AY19" s="14" t="s">
        <v>880</v>
      </c>
      <c r="AZ19" s="14" t="s">
        <v>881</v>
      </c>
      <c r="BA19" s="36">
        <v>408</v>
      </c>
    </row>
    <row r="20" spans="11:53">
      <c r="K20" s="14" t="s">
        <v>196</v>
      </c>
      <c r="L20" s="38" t="s">
        <v>197</v>
      </c>
      <c r="M20" s="36">
        <v>19</v>
      </c>
      <c r="N20" s="20"/>
      <c r="O20" s="14" t="s">
        <v>284</v>
      </c>
      <c r="P20" s="38" t="s">
        <v>285</v>
      </c>
      <c r="Q20" s="36">
        <v>58</v>
      </c>
      <c r="S20" s="14" t="s">
        <v>400</v>
      </c>
      <c r="T20" s="38" t="s">
        <v>403</v>
      </c>
      <c r="U20" s="36">
        <v>97</v>
      </c>
      <c r="W20" s="14" t="s">
        <v>558</v>
      </c>
      <c r="X20" s="38" t="s">
        <v>557</v>
      </c>
      <c r="Y20" s="36">
        <v>136</v>
      </c>
      <c r="AA20" s="14" t="s">
        <v>58</v>
      </c>
      <c r="AB20" s="38" t="s">
        <v>92</v>
      </c>
      <c r="AC20" s="36">
        <v>175</v>
      </c>
      <c r="AE20" s="14" t="s">
        <v>331</v>
      </c>
      <c r="AF20" s="14" t="s">
        <v>332</v>
      </c>
      <c r="AG20" s="36">
        <v>214</v>
      </c>
      <c r="AI20" s="14" t="s">
        <v>378</v>
      </c>
      <c r="AJ20" s="38" t="s">
        <v>767</v>
      </c>
      <c r="AK20" s="36">
        <v>253</v>
      </c>
      <c r="AM20" s="14" t="s">
        <v>693</v>
      </c>
      <c r="AN20" s="14" t="s">
        <v>694</v>
      </c>
      <c r="AO20" s="36">
        <v>292</v>
      </c>
      <c r="AQ20" s="14" t="s">
        <v>391</v>
      </c>
      <c r="AR20" s="35" t="s">
        <v>394</v>
      </c>
      <c r="AS20" s="36">
        <v>331</v>
      </c>
      <c r="AU20" s="14" t="s">
        <v>804</v>
      </c>
      <c r="AV20" s="38" t="s">
        <v>803</v>
      </c>
      <c r="AW20" s="36">
        <v>370</v>
      </c>
      <c r="AY20" s="14" t="s">
        <v>882</v>
      </c>
      <c r="AZ20" s="38" t="s">
        <v>883</v>
      </c>
      <c r="BA20" s="36">
        <v>409</v>
      </c>
    </row>
    <row r="21" spans="11:53">
      <c r="K21" s="14" t="s">
        <v>714</v>
      </c>
      <c r="L21" s="38" t="s">
        <v>722</v>
      </c>
      <c r="M21" s="36">
        <v>20</v>
      </c>
      <c r="N21" s="20"/>
      <c r="O21" s="14" t="s">
        <v>276</v>
      </c>
      <c r="P21" s="38" t="s">
        <v>277</v>
      </c>
      <c r="Q21" s="36">
        <v>59</v>
      </c>
      <c r="S21" s="14" t="s">
        <v>398</v>
      </c>
      <c r="T21" s="38" t="s">
        <v>401</v>
      </c>
      <c r="U21" s="36">
        <v>98</v>
      </c>
      <c r="W21" s="14" t="s">
        <v>559</v>
      </c>
      <c r="X21" s="38" t="s">
        <v>560</v>
      </c>
      <c r="Y21" s="36">
        <v>137</v>
      </c>
      <c r="AA21" s="14" t="s">
        <v>57</v>
      </c>
      <c r="AB21" s="38" t="s">
        <v>93</v>
      </c>
      <c r="AC21" s="36">
        <v>176</v>
      </c>
      <c r="AE21" s="14" t="s">
        <v>731</v>
      </c>
      <c r="AF21" s="14" t="s">
        <v>734</v>
      </c>
      <c r="AG21" s="36">
        <v>215</v>
      </c>
      <c r="AI21" s="14" t="s">
        <v>380</v>
      </c>
      <c r="AJ21" s="38" t="s">
        <v>768</v>
      </c>
      <c r="AK21" s="36">
        <v>254</v>
      </c>
      <c r="AM21" s="14" t="s">
        <v>695</v>
      </c>
      <c r="AN21" s="14" t="s">
        <v>696</v>
      </c>
      <c r="AO21" s="36">
        <v>293</v>
      </c>
      <c r="AQ21" s="14" t="s">
        <v>389</v>
      </c>
      <c r="AR21" s="35" t="s">
        <v>392</v>
      </c>
      <c r="AS21" s="36">
        <v>332</v>
      </c>
      <c r="AU21" s="14" t="s">
        <v>805</v>
      </c>
      <c r="AV21" s="38" t="s">
        <v>808</v>
      </c>
      <c r="AW21" s="36">
        <v>371</v>
      </c>
      <c r="AY21" s="14" t="s">
        <v>884</v>
      </c>
      <c r="AZ21" s="14" t="s">
        <v>885</v>
      </c>
      <c r="BA21" s="36">
        <v>410</v>
      </c>
    </row>
    <row r="22" spans="11:53">
      <c r="K22" s="14" t="s">
        <v>99</v>
      </c>
      <c r="L22" s="38" t="s">
        <v>101</v>
      </c>
      <c r="M22" s="36">
        <v>21</v>
      </c>
      <c r="N22" s="20"/>
      <c r="O22" s="14" t="s">
        <v>274</v>
      </c>
      <c r="P22" s="38" t="s">
        <v>275</v>
      </c>
      <c r="Q22" s="36">
        <v>60</v>
      </c>
      <c r="S22" s="14" t="s">
        <v>399</v>
      </c>
      <c r="T22" s="38" t="s">
        <v>402</v>
      </c>
      <c r="U22" s="36">
        <v>99</v>
      </c>
      <c r="W22" s="14" t="s">
        <v>561</v>
      </c>
      <c r="X22" s="38" t="s">
        <v>562</v>
      </c>
      <c r="Y22" s="36">
        <v>138</v>
      </c>
      <c r="AA22" s="14" t="s">
        <v>25</v>
      </c>
      <c r="AB22" s="38" t="s">
        <v>26</v>
      </c>
      <c r="AC22" s="36">
        <v>177</v>
      </c>
      <c r="AE22" s="14" t="s">
        <v>163</v>
      </c>
      <c r="AF22" s="14" t="s">
        <v>165</v>
      </c>
      <c r="AG22" s="36">
        <v>216</v>
      </c>
      <c r="AI22" s="14" t="s">
        <v>371</v>
      </c>
      <c r="AJ22" s="38" t="s">
        <v>769</v>
      </c>
      <c r="AK22" s="36">
        <v>255</v>
      </c>
      <c r="AM22" s="14" t="s">
        <v>502</v>
      </c>
      <c r="AN22" s="14" t="s">
        <v>503</v>
      </c>
      <c r="AO22" s="36">
        <v>294</v>
      </c>
      <c r="AQ22" s="14" t="s">
        <v>390</v>
      </c>
      <c r="AR22" s="35" t="s">
        <v>393</v>
      </c>
      <c r="AS22" s="36">
        <v>333</v>
      </c>
      <c r="AU22" s="14" t="s">
        <v>806</v>
      </c>
      <c r="AV22" s="38" t="s">
        <v>809</v>
      </c>
      <c r="AW22" s="36">
        <v>372</v>
      </c>
      <c r="AY22" s="14"/>
      <c r="AZ22" s="14"/>
      <c r="BA22" s="36">
        <v>411</v>
      </c>
    </row>
    <row r="23" spans="11:53">
      <c r="K23" s="14" t="s">
        <v>100</v>
      </c>
      <c r="L23" s="38" t="s">
        <v>102</v>
      </c>
      <c r="M23" s="36">
        <v>22</v>
      </c>
      <c r="N23" s="20"/>
      <c r="O23" s="14" t="s">
        <v>270</v>
      </c>
      <c r="P23" s="38" t="s">
        <v>271</v>
      </c>
      <c r="Q23" s="36">
        <v>61</v>
      </c>
      <c r="S23" s="14" t="s">
        <v>397</v>
      </c>
      <c r="T23" s="38" t="s">
        <v>388</v>
      </c>
      <c r="U23" s="36">
        <v>100</v>
      </c>
      <c r="W23" s="14" t="s">
        <v>563</v>
      </c>
      <c r="X23" s="38" t="s">
        <v>564</v>
      </c>
      <c r="Y23" s="36">
        <v>139</v>
      </c>
      <c r="AA23" s="14" t="s">
        <v>23</v>
      </c>
      <c r="AB23" s="38" t="s">
        <v>24</v>
      </c>
      <c r="AC23" s="36">
        <v>178</v>
      </c>
      <c r="AE23" s="14" t="s">
        <v>162</v>
      </c>
      <c r="AF23" s="38" t="s">
        <v>164</v>
      </c>
      <c r="AG23" s="36">
        <v>217</v>
      </c>
      <c r="AI23" s="14" t="s">
        <v>374</v>
      </c>
      <c r="AJ23" s="38" t="s">
        <v>770</v>
      </c>
      <c r="AK23" s="36">
        <v>256</v>
      </c>
      <c r="AM23" s="14" t="s">
        <v>500</v>
      </c>
      <c r="AN23" s="14" t="s">
        <v>501</v>
      </c>
      <c r="AO23" s="36">
        <v>295</v>
      </c>
      <c r="AQ23" s="14" t="s">
        <v>75</v>
      </c>
      <c r="AR23" s="14" t="s">
        <v>77</v>
      </c>
      <c r="AS23" s="36">
        <v>334</v>
      </c>
      <c r="AU23" s="14" t="s">
        <v>807</v>
      </c>
      <c r="AV23" s="38" t="s">
        <v>810</v>
      </c>
      <c r="AW23" s="36">
        <v>373</v>
      </c>
      <c r="AY23" s="14"/>
      <c r="AZ23" s="14"/>
      <c r="BA23" s="36">
        <v>412</v>
      </c>
    </row>
    <row r="24" spans="11:53">
      <c r="K24" s="14" t="s">
        <v>538</v>
      </c>
      <c r="L24" s="38" t="s">
        <v>619</v>
      </c>
      <c r="M24" s="36">
        <v>23</v>
      </c>
      <c r="N24" s="20"/>
      <c r="O24" s="14" t="s">
        <v>227</v>
      </c>
      <c r="P24" s="38" t="s">
        <v>230</v>
      </c>
      <c r="Q24" s="36">
        <v>62</v>
      </c>
      <c r="S24" s="14" t="s">
        <v>395</v>
      </c>
      <c r="T24" s="38" t="s">
        <v>386</v>
      </c>
      <c r="U24" s="36">
        <v>101</v>
      </c>
      <c r="W24" s="14" t="s">
        <v>565</v>
      </c>
      <c r="X24" s="38" t="s">
        <v>566</v>
      </c>
      <c r="Y24" s="36">
        <v>140</v>
      </c>
      <c r="AA24" s="14" t="s">
        <v>172</v>
      </c>
      <c r="AB24" s="38" t="s">
        <v>173</v>
      </c>
      <c r="AC24" s="36">
        <v>179</v>
      </c>
      <c r="AE24" s="14" t="s">
        <v>198</v>
      </c>
      <c r="AF24" s="14" t="s">
        <v>732</v>
      </c>
      <c r="AG24" s="36">
        <v>218</v>
      </c>
      <c r="AI24" s="14" t="s">
        <v>414</v>
      </c>
      <c r="AJ24" s="38" t="s">
        <v>415</v>
      </c>
      <c r="AK24" s="36">
        <v>257</v>
      </c>
      <c r="AM24" s="14" t="s">
        <v>504</v>
      </c>
      <c r="AN24" s="14" t="s">
        <v>505</v>
      </c>
      <c r="AO24" s="36">
        <v>296</v>
      </c>
      <c r="AQ24" s="14" t="s">
        <v>469</v>
      </c>
      <c r="AR24" s="14" t="s">
        <v>470</v>
      </c>
      <c r="AS24" s="36">
        <v>335</v>
      </c>
      <c r="AU24" s="14" t="s">
        <v>811</v>
      </c>
      <c r="AV24" s="38" t="s">
        <v>812</v>
      </c>
      <c r="AW24" s="36">
        <v>374</v>
      </c>
      <c r="AY24" s="14"/>
      <c r="AZ24" s="14"/>
      <c r="BA24" s="36">
        <v>413</v>
      </c>
    </row>
    <row r="25" spans="11:53">
      <c r="K25" s="14" t="s">
        <v>697</v>
      </c>
      <c r="L25" s="38" t="s">
        <v>720</v>
      </c>
      <c r="M25" s="36">
        <v>24</v>
      </c>
      <c r="N25" s="20"/>
      <c r="O25" s="14" t="s">
        <v>225</v>
      </c>
      <c r="P25" s="38" t="s">
        <v>228</v>
      </c>
      <c r="Q25" s="36">
        <v>63</v>
      </c>
      <c r="S25" s="14" t="s">
        <v>396</v>
      </c>
      <c r="T25" s="38" t="s">
        <v>387</v>
      </c>
      <c r="U25" s="36">
        <v>102</v>
      </c>
      <c r="W25" s="14" t="s">
        <v>567</v>
      </c>
      <c r="X25" s="38" t="s">
        <v>568</v>
      </c>
      <c r="Y25" s="36">
        <v>141</v>
      </c>
      <c r="AA25" s="14" t="s">
        <v>515</v>
      </c>
      <c r="AB25" s="38" t="s">
        <v>509</v>
      </c>
      <c r="AC25" s="36">
        <v>180</v>
      </c>
      <c r="AE25" s="14" t="s">
        <v>200</v>
      </c>
      <c r="AF25" s="14" t="s">
        <v>733</v>
      </c>
      <c r="AG25" s="36">
        <v>219</v>
      </c>
      <c r="AI25" s="14" t="s">
        <v>95</v>
      </c>
      <c r="AJ25" s="38" t="s">
        <v>96</v>
      </c>
      <c r="AK25" s="36">
        <v>258</v>
      </c>
      <c r="AM25" s="14" t="s">
        <v>659</v>
      </c>
      <c r="AN25" s="14" t="s">
        <v>660</v>
      </c>
      <c r="AO25" s="36">
        <v>297</v>
      </c>
      <c r="AQ25" s="14" t="s">
        <v>76</v>
      </c>
      <c r="AR25" s="14" t="s">
        <v>78</v>
      </c>
      <c r="AS25" s="36">
        <v>336</v>
      </c>
      <c r="AU25" s="14" t="s">
        <v>813</v>
      </c>
      <c r="AV25" s="38" t="s">
        <v>815</v>
      </c>
      <c r="AW25" s="36">
        <v>375</v>
      </c>
      <c r="AY25" s="14"/>
      <c r="AZ25" s="14"/>
      <c r="BA25" s="36">
        <v>414</v>
      </c>
    </row>
    <row r="26" spans="11:53">
      <c r="K26" s="14" t="s">
        <v>360</v>
      </c>
      <c r="L26" s="38" t="s">
        <v>361</v>
      </c>
      <c r="M26" s="36">
        <v>25</v>
      </c>
      <c r="N26" s="20"/>
      <c r="O26" s="14" t="s">
        <v>226</v>
      </c>
      <c r="P26" s="38" t="s">
        <v>229</v>
      </c>
      <c r="Q26" s="36">
        <v>64</v>
      </c>
      <c r="S26" s="14" t="s">
        <v>185</v>
      </c>
      <c r="T26" s="38" t="s">
        <v>186</v>
      </c>
      <c r="U26" s="36">
        <v>103</v>
      </c>
      <c r="W26" s="14" t="s">
        <v>657</v>
      </c>
      <c r="X26" s="38" t="s">
        <v>658</v>
      </c>
      <c r="Y26" s="36">
        <v>142</v>
      </c>
      <c r="AA26" s="14" t="s">
        <v>655</v>
      </c>
      <c r="AB26" s="38" t="s">
        <v>656</v>
      </c>
      <c r="AC26" s="36">
        <v>181</v>
      </c>
      <c r="AE26" s="14" t="s">
        <v>681</v>
      </c>
      <c r="AF26" s="14" t="s">
        <v>682</v>
      </c>
      <c r="AG26" s="36">
        <v>220</v>
      </c>
      <c r="AI26" s="14" t="s">
        <v>410</v>
      </c>
      <c r="AJ26" s="38" t="s">
        <v>411</v>
      </c>
      <c r="AK26" s="36">
        <v>259</v>
      </c>
      <c r="AM26" s="14" t="s">
        <v>461</v>
      </c>
      <c r="AN26" s="14" t="s">
        <v>462</v>
      </c>
      <c r="AO26" s="36">
        <v>298</v>
      </c>
      <c r="AQ26" s="14" t="s">
        <v>675</v>
      </c>
      <c r="AR26" s="14" t="s">
        <v>676</v>
      </c>
      <c r="AS26" s="36">
        <v>337</v>
      </c>
      <c r="AU26" s="14" t="s">
        <v>814</v>
      </c>
      <c r="AV26" s="38" t="s">
        <v>816</v>
      </c>
      <c r="AW26" s="36">
        <v>376</v>
      </c>
      <c r="AY26" s="14"/>
      <c r="AZ26" s="14"/>
      <c r="BA26" s="36">
        <v>415</v>
      </c>
    </row>
    <row r="27" spans="11:53">
      <c r="K27" s="14" t="s">
        <v>362</v>
      </c>
      <c r="L27" s="38" t="s">
        <v>363</v>
      </c>
      <c r="M27" s="36">
        <v>26</v>
      </c>
      <c r="N27" s="20"/>
      <c r="O27" s="14" t="s">
        <v>577</v>
      </c>
      <c r="P27" s="38" t="s">
        <v>578</v>
      </c>
      <c r="Q27" s="36">
        <v>65</v>
      </c>
      <c r="S27" s="14" t="s">
        <v>181</v>
      </c>
      <c r="T27" s="38" t="s">
        <v>182</v>
      </c>
      <c r="U27" s="36">
        <v>104</v>
      </c>
      <c r="W27" s="14" t="s">
        <v>147</v>
      </c>
      <c r="X27" s="38" t="s">
        <v>148</v>
      </c>
      <c r="Y27" s="36">
        <v>143</v>
      </c>
      <c r="AA27" s="14" t="s">
        <v>139</v>
      </c>
      <c r="AB27" s="38" t="s">
        <v>142</v>
      </c>
      <c r="AC27" s="36">
        <v>182</v>
      </c>
      <c r="AE27" s="14" t="s">
        <v>687</v>
      </c>
      <c r="AF27" s="14" t="s">
        <v>688</v>
      </c>
      <c r="AG27" s="36">
        <v>221</v>
      </c>
      <c r="AI27" s="14" t="s">
        <v>111</v>
      </c>
      <c r="AJ27" s="38" t="s">
        <v>113</v>
      </c>
      <c r="AK27" s="36">
        <v>260</v>
      </c>
      <c r="AM27" s="14" t="s">
        <v>463</v>
      </c>
      <c r="AN27" s="14" t="s">
        <v>464</v>
      </c>
      <c r="AO27" s="36">
        <v>299</v>
      </c>
      <c r="AQ27" s="14" t="s">
        <v>343</v>
      </c>
      <c r="AR27" s="14" t="s">
        <v>342</v>
      </c>
      <c r="AS27" s="36">
        <v>338</v>
      </c>
      <c r="AU27" s="14" t="s">
        <v>817</v>
      </c>
      <c r="AV27" s="14" t="s">
        <v>818</v>
      </c>
      <c r="AW27" s="36">
        <v>377</v>
      </c>
      <c r="AY27" s="14"/>
      <c r="AZ27" s="14"/>
      <c r="BA27" s="36">
        <v>416</v>
      </c>
    </row>
    <row r="28" spans="11:53">
      <c r="K28" s="14" t="s">
        <v>364</v>
      </c>
      <c r="L28" s="38" t="s">
        <v>365</v>
      </c>
      <c r="M28" s="36">
        <v>27</v>
      </c>
      <c r="N28" s="20"/>
      <c r="O28" s="14" t="s">
        <v>316</v>
      </c>
      <c r="P28" s="38" t="s">
        <v>315</v>
      </c>
      <c r="Q28" s="36">
        <v>66</v>
      </c>
      <c r="S28" s="14" t="s">
        <v>183</v>
      </c>
      <c r="T28" s="38" t="s">
        <v>184</v>
      </c>
      <c r="U28" s="36">
        <v>105</v>
      </c>
      <c r="W28" s="14" t="s">
        <v>447</v>
      </c>
      <c r="X28" s="38" t="s">
        <v>444</v>
      </c>
      <c r="Y28" s="36">
        <v>144</v>
      </c>
      <c r="AA28" s="14" t="s">
        <v>136</v>
      </c>
      <c r="AB28" s="38" t="s">
        <v>135</v>
      </c>
      <c r="AC28" s="36">
        <v>183</v>
      </c>
      <c r="AE28" s="14" t="s">
        <v>692</v>
      </c>
      <c r="AF28" s="38" t="s">
        <v>835</v>
      </c>
      <c r="AG28" s="36">
        <v>222</v>
      </c>
      <c r="AI28" s="14" t="s">
        <v>418</v>
      </c>
      <c r="AJ28" s="38" t="s">
        <v>420</v>
      </c>
      <c r="AK28" s="36">
        <v>261</v>
      </c>
      <c r="AM28" s="14" t="s">
        <v>707</v>
      </c>
      <c r="AN28" s="14" t="s">
        <v>721</v>
      </c>
      <c r="AO28" s="36">
        <v>300</v>
      </c>
      <c r="AQ28" s="14" t="s">
        <v>174</v>
      </c>
      <c r="AR28" s="14" t="s">
        <v>341</v>
      </c>
      <c r="AS28" s="36">
        <v>339</v>
      </c>
      <c r="AU28" s="14" t="s">
        <v>819</v>
      </c>
      <c r="AV28" s="14" t="s">
        <v>820</v>
      </c>
      <c r="AW28" s="36">
        <v>378</v>
      </c>
      <c r="AY28" s="14"/>
      <c r="AZ28" s="14"/>
      <c r="BA28" s="36">
        <v>417</v>
      </c>
    </row>
    <row r="29" spans="11:53">
      <c r="K29" s="14" t="s">
        <v>366</v>
      </c>
      <c r="L29" s="38" t="s">
        <v>367</v>
      </c>
      <c r="M29" s="36">
        <v>28</v>
      </c>
      <c r="N29" s="20"/>
      <c r="O29" s="14" t="s">
        <v>571</v>
      </c>
      <c r="P29" s="38" t="s">
        <v>572</v>
      </c>
      <c r="Q29" s="36">
        <v>67</v>
      </c>
      <c r="S29" s="14" t="s">
        <v>536</v>
      </c>
      <c r="T29" s="38" t="s">
        <v>537</v>
      </c>
      <c r="U29" s="36">
        <v>106</v>
      </c>
      <c r="W29" s="14" t="s">
        <v>445</v>
      </c>
      <c r="X29" s="38" t="s">
        <v>459</v>
      </c>
      <c r="Y29" s="36">
        <v>145</v>
      </c>
      <c r="AA29" s="14" t="s">
        <v>137</v>
      </c>
      <c r="AB29" s="38" t="s">
        <v>140</v>
      </c>
      <c r="AC29" s="36">
        <v>184</v>
      </c>
      <c r="AE29" s="14" t="s">
        <v>290</v>
      </c>
      <c r="AF29" s="38" t="s">
        <v>298</v>
      </c>
      <c r="AG29" s="36">
        <v>223</v>
      </c>
      <c r="AI29" s="14" t="s">
        <v>416</v>
      </c>
      <c r="AJ29" s="38" t="s">
        <v>417</v>
      </c>
      <c r="AK29" s="36">
        <v>262</v>
      </c>
      <c r="AM29" s="14" t="s">
        <v>344</v>
      </c>
      <c r="AN29" s="14" t="s">
        <v>345</v>
      </c>
      <c r="AO29" s="36">
        <v>301</v>
      </c>
      <c r="AQ29" s="14" t="s">
        <v>109</v>
      </c>
      <c r="AR29" s="14" t="s">
        <v>110</v>
      </c>
      <c r="AS29" s="36">
        <v>340</v>
      </c>
      <c r="AU29" s="14" t="s">
        <v>823</v>
      </c>
      <c r="AV29" s="14" t="s">
        <v>824</v>
      </c>
      <c r="AW29" s="36">
        <v>379</v>
      </c>
      <c r="AY29" s="14"/>
      <c r="AZ29" s="14"/>
      <c r="BA29" s="36">
        <v>418</v>
      </c>
    </row>
    <row r="30" spans="11:53">
      <c r="K30" s="14" t="s">
        <v>352</v>
      </c>
      <c r="L30" s="38" t="s">
        <v>353</v>
      </c>
      <c r="M30" s="36">
        <v>29</v>
      </c>
      <c r="N30" s="20"/>
      <c r="O30" s="14" t="s">
        <v>513</v>
      </c>
      <c r="P30" s="38" t="s">
        <v>507</v>
      </c>
      <c r="Q30" s="36">
        <v>68</v>
      </c>
      <c r="S30" s="14" t="s">
        <v>317</v>
      </c>
      <c r="T30" s="38" t="s">
        <v>318</v>
      </c>
      <c r="U30" s="36">
        <v>107</v>
      </c>
      <c r="W30" s="14" t="s">
        <v>446</v>
      </c>
      <c r="X30" s="38" t="s">
        <v>443</v>
      </c>
      <c r="Y30" s="36">
        <v>146</v>
      </c>
      <c r="AA30" s="14" t="s">
        <v>138</v>
      </c>
      <c r="AB30" s="38" t="s">
        <v>141</v>
      </c>
      <c r="AC30" s="36">
        <v>185</v>
      </c>
      <c r="AE30" s="14" t="s">
        <v>291</v>
      </c>
      <c r="AF30" s="38" t="s">
        <v>299</v>
      </c>
      <c r="AG30" s="36">
        <v>224</v>
      </c>
      <c r="AI30" s="14" t="s">
        <v>412</v>
      </c>
      <c r="AJ30" s="38" t="s">
        <v>413</v>
      </c>
      <c r="AK30" s="36">
        <v>263</v>
      </c>
      <c r="AM30" s="14" t="s">
        <v>153</v>
      </c>
      <c r="AN30" s="14" t="s">
        <v>155</v>
      </c>
      <c r="AO30" s="36">
        <v>302</v>
      </c>
      <c r="AQ30" s="14" t="s">
        <v>69</v>
      </c>
      <c r="AR30" s="14" t="s">
        <v>70</v>
      </c>
      <c r="AS30" s="36">
        <v>341</v>
      </c>
      <c r="AU30" s="14" t="s">
        <v>825</v>
      </c>
      <c r="AV30" s="14" t="s">
        <v>826</v>
      </c>
      <c r="AW30" s="36">
        <v>380</v>
      </c>
      <c r="AY30" s="14"/>
      <c r="AZ30" s="14"/>
      <c r="BA30" s="36">
        <v>419</v>
      </c>
    </row>
    <row r="31" spans="11:53">
      <c r="K31" s="14" t="s">
        <v>354</v>
      </c>
      <c r="L31" s="38" t="s">
        <v>355</v>
      </c>
      <c r="M31" s="36">
        <v>30</v>
      </c>
      <c r="N31" s="20"/>
      <c r="O31" s="14" t="s">
        <v>575</v>
      </c>
      <c r="P31" s="38" t="s">
        <v>576</v>
      </c>
      <c r="Q31" s="36">
        <v>69</v>
      </c>
      <c r="S31" s="14" t="s">
        <v>673</v>
      </c>
      <c r="T31" s="38" t="s">
        <v>674</v>
      </c>
      <c r="U31" s="36">
        <v>108</v>
      </c>
      <c r="W31" s="14" t="s">
        <v>471</v>
      </c>
      <c r="X31" s="38" t="s">
        <v>472</v>
      </c>
      <c r="Y31" s="36">
        <v>147</v>
      </c>
      <c r="AA31" s="14" t="s">
        <v>168</v>
      </c>
      <c r="AB31" s="38" t="s">
        <v>171</v>
      </c>
      <c r="AC31" s="36">
        <v>186</v>
      </c>
      <c r="AE31" s="14" t="s">
        <v>292</v>
      </c>
      <c r="AF31" s="38" t="s">
        <v>300</v>
      </c>
      <c r="AG31" s="36">
        <v>225</v>
      </c>
      <c r="AI31" s="14" t="s">
        <v>419</v>
      </c>
      <c r="AJ31" s="38" t="s">
        <v>421</v>
      </c>
      <c r="AK31" s="36">
        <v>264</v>
      </c>
      <c r="AM31" s="14" t="s">
        <v>150</v>
      </c>
      <c r="AN31" s="14" t="s">
        <v>151</v>
      </c>
      <c r="AO31" s="36">
        <v>303</v>
      </c>
      <c r="AQ31" s="14" t="s">
        <v>539</v>
      </c>
      <c r="AR31" s="14" t="s">
        <v>540</v>
      </c>
      <c r="AS31" s="36">
        <v>342</v>
      </c>
      <c r="AU31" s="14" t="s">
        <v>437</v>
      </c>
      <c r="AV31" s="38" t="s">
        <v>828</v>
      </c>
      <c r="AW31" s="36">
        <v>381</v>
      </c>
      <c r="AY31" s="14"/>
      <c r="AZ31" s="14"/>
      <c r="BA31" s="36">
        <v>420</v>
      </c>
    </row>
    <row r="32" spans="11:53">
      <c r="K32" s="14" t="s">
        <v>356</v>
      </c>
      <c r="L32" s="38" t="s">
        <v>357</v>
      </c>
      <c r="M32" s="36">
        <v>31</v>
      </c>
      <c r="N32" s="20"/>
      <c r="O32" s="14" t="s">
        <v>159</v>
      </c>
      <c r="P32" s="38" t="s">
        <v>158</v>
      </c>
      <c r="Q32" s="36">
        <v>70</v>
      </c>
      <c r="S32" s="14" t="s">
        <v>319</v>
      </c>
      <c r="T32" s="38" t="s">
        <v>320</v>
      </c>
      <c r="U32" s="36">
        <v>109</v>
      </c>
      <c r="W32" s="14" t="s">
        <v>475</v>
      </c>
      <c r="X32" s="38" t="s">
        <v>476</v>
      </c>
      <c r="Y32" s="36">
        <v>148</v>
      </c>
      <c r="AA32" s="14" t="s">
        <v>167</v>
      </c>
      <c r="AB32" s="38" t="s">
        <v>170</v>
      </c>
      <c r="AC32" s="36">
        <v>187</v>
      </c>
      <c r="AE32" s="14" t="s">
        <v>293</v>
      </c>
      <c r="AF32" s="38" t="s">
        <v>301</v>
      </c>
      <c r="AG32" s="36">
        <v>226</v>
      </c>
      <c r="AI32" s="14" t="s">
        <v>97</v>
      </c>
      <c r="AJ32" s="38" t="s">
        <v>98</v>
      </c>
      <c r="AK32" s="36">
        <v>265</v>
      </c>
      <c r="AM32" s="14" t="s">
        <v>152</v>
      </c>
      <c r="AN32" s="14" t="s">
        <v>154</v>
      </c>
      <c r="AO32" s="36">
        <v>304</v>
      </c>
      <c r="AQ32" s="14" t="s">
        <v>542</v>
      </c>
      <c r="AR32" s="14" t="s">
        <v>541</v>
      </c>
      <c r="AS32" s="36">
        <v>343</v>
      </c>
      <c r="AU32" s="14" t="s">
        <v>433</v>
      </c>
      <c r="AV32" s="38" t="s">
        <v>829</v>
      </c>
      <c r="AW32" s="36">
        <v>382</v>
      </c>
      <c r="AY32" s="14"/>
      <c r="AZ32" s="14"/>
      <c r="BA32" s="36">
        <v>421</v>
      </c>
    </row>
    <row r="33" spans="11:53">
      <c r="K33" s="14" t="s">
        <v>358</v>
      </c>
      <c r="L33" s="38" t="s">
        <v>359</v>
      </c>
      <c r="M33" s="36">
        <v>32</v>
      </c>
      <c r="N33" s="20"/>
      <c r="O33" s="14" t="s">
        <v>156</v>
      </c>
      <c r="P33" s="38" t="s">
        <v>157</v>
      </c>
      <c r="Q33" s="36">
        <v>71</v>
      </c>
      <c r="S33" s="14" t="s">
        <v>530</v>
      </c>
      <c r="T33" s="38" t="s">
        <v>531</v>
      </c>
      <c r="U33" s="36">
        <v>110</v>
      </c>
      <c r="W33" s="14" t="s">
        <v>473</v>
      </c>
      <c r="X33" s="38" t="s">
        <v>474</v>
      </c>
      <c r="Y33" s="36">
        <v>149</v>
      </c>
      <c r="AA33" s="14" t="s">
        <v>166</v>
      </c>
      <c r="AB33" s="38" t="s">
        <v>169</v>
      </c>
      <c r="AC33" s="36">
        <v>188</v>
      </c>
      <c r="AE33" s="14" t="s">
        <v>294</v>
      </c>
      <c r="AF33" s="38" t="s">
        <v>302</v>
      </c>
      <c r="AG33" s="36">
        <v>227</v>
      </c>
      <c r="AI33" s="14" t="s">
        <v>112</v>
      </c>
      <c r="AJ33" s="14" t="s">
        <v>114</v>
      </c>
      <c r="AK33" s="36">
        <v>266</v>
      </c>
      <c r="AM33" s="14" t="s">
        <v>216</v>
      </c>
      <c r="AN33" s="14" t="s">
        <v>215</v>
      </c>
      <c r="AO33" s="36">
        <v>305</v>
      </c>
      <c r="AQ33" s="14" t="s">
        <v>543</v>
      </c>
      <c r="AR33" s="14" t="s">
        <v>544</v>
      </c>
      <c r="AS33" s="36">
        <v>344</v>
      </c>
      <c r="AU33" s="14" t="s">
        <v>435</v>
      </c>
      <c r="AV33" s="38" t="s">
        <v>830</v>
      </c>
      <c r="AW33" s="36">
        <v>383</v>
      </c>
      <c r="AY33" s="14"/>
      <c r="AZ33" s="14"/>
      <c r="BA33" s="36">
        <v>422</v>
      </c>
    </row>
    <row r="34" spans="11:53">
      <c r="K34" s="14" t="s">
        <v>29</v>
      </c>
      <c r="L34" s="38" t="s">
        <v>30</v>
      </c>
      <c r="M34" s="36">
        <v>33</v>
      </c>
      <c r="N34" s="20"/>
      <c r="O34" s="14" t="s">
        <v>583</v>
      </c>
      <c r="P34" s="38" t="s">
        <v>584</v>
      </c>
      <c r="Q34" s="36">
        <v>72</v>
      </c>
      <c r="S34" s="14" t="s">
        <v>569</v>
      </c>
      <c r="T34" s="38" t="s">
        <v>570</v>
      </c>
      <c r="U34" s="36">
        <v>111</v>
      </c>
      <c r="W34" s="14" t="s">
        <v>258</v>
      </c>
      <c r="X34" s="38" t="s">
        <v>260</v>
      </c>
      <c r="Y34" s="36">
        <v>150</v>
      </c>
      <c r="AA34" s="14" t="s">
        <v>593</v>
      </c>
      <c r="AB34" s="38" t="s">
        <v>827</v>
      </c>
      <c r="AC34" s="36">
        <v>189</v>
      </c>
      <c r="AE34" s="14" t="s">
        <v>295</v>
      </c>
      <c r="AF34" s="38" t="s">
        <v>303</v>
      </c>
      <c r="AG34" s="36">
        <v>228</v>
      </c>
      <c r="AI34" s="14" t="s">
        <v>251</v>
      </c>
      <c r="AJ34" s="14" t="s">
        <v>252</v>
      </c>
      <c r="AK34" s="36">
        <v>267</v>
      </c>
      <c r="AM34" s="14" t="s">
        <v>209</v>
      </c>
      <c r="AN34" s="14" t="s">
        <v>210</v>
      </c>
      <c r="AO34" s="36">
        <v>306</v>
      </c>
      <c r="AQ34" s="14" t="s">
        <v>339</v>
      </c>
      <c r="AR34" s="14" t="s">
        <v>340</v>
      </c>
      <c r="AS34" s="36">
        <v>345</v>
      </c>
      <c r="AU34" s="14" t="s">
        <v>831</v>
      </c>
      <c r="AV34" s="38" t="s">
        <v>832</v>
      </c>
      <c r="AW34" s="36">
        <v>384</v>
      </c>
      <c r="AY34" s="14"/>
      <c r="AZ34" s="14"/>
      <c r="BA34" s="36">
        <v>423</v>
      </c>
    </row>
    <row r="35" spans="11:53">
      <c r="K35" s="14" t="s">
        <v>485</v>
      </c>
      <c r="L35" s="38" t="s">
        <v>486</v>
      </c>
      <c r="M35" s="36">
        <v>34</v>
      </c>
      <c r="N35" s="20"/>
      <c r="O35" s="14" t="s">
        <v>579</v>
      </c>
      <c r="P35" s="38" t="s">
        <v>580</v>
      </c>
      <c r="Q35" s="36">
        <v>73</v>
      </c>
      <c r="S35" s="14" t="s">
        <v>665</v>
      </c>
      <c r="T35" s="38" t="s">
        <v>666</v>
      </c>
      <c r="U35" s="36">
        <v>112</v>
      </c>
      <c r="W35" s="14" t="s">
        <v>257</v>
      </c>
      <c r="X35" s="38" t="s">
        <v>259</v>
      </c>
      <c r="Y35" s="36">
        <v>151</v>
      </c>
      <c r="AA35" s="14" t="s">
        <v>532</v>
      </c>
      <c r="AB35" s="38" t="s">
        <v>533</v>
      </c>
      <c r="AC35" s="36">
        <v>190</v>
      </c>
      <c r="AE35" s="14" t="s">
        <v>296</v>
      </c>
      <c r="AF35" s="38" t="s">
        <v>304</v>
      </c>
      <c r="AG35" s="36">
        <v>229</v>
      </c>
      <c r="AI35" s="14" t="s">
        <v>32</v>
      </c>
      <c r="AJ35" s="14" t="s">
        <v>33</v>
      </c>
      <c r="AK35" s="36">
        <v>268</v>
      </c>
      <c r="AM35" s="14" t="s">
        <v>212</v>
      </c>
      <c r="AN35" s="14" t="s">
        <v>213</v>
      </c>
      <c r="AO35" s="36">
        <v>307</v>
      </c>
      <c r="AQ35" s="14" t="s">
        <v>518</v>
      </c>
      <c r="AR35" s="43" t="s">
        <v>519</v>
      </c>
      <c r="AS35" s="36">
        <v>346</v>
      </c>
      <c r="AU35" s="14" t="s">
        <v>833</v>
      </c>
      <c r="AV35" s="38" t="s">
        <v>834</v>
      </c>
      <c r="AW35" s="36">
        <v>385</v>
      </c>
      <c r="AY35" s="14"/>
      <c r="AZ35" s="14"/>
      <c r="BA35" s="36">
        <v>424</v>
      </c>
    </row>
    <row r="36" spans="11:53">
      <c r="K36" s="14" t="s">
        <v>123</v>
      </c>
      <c r="L36" s="38" t="s">
        <v>124</v>
      </c>
      <c r="M36" s="36">
        <v>35</v>
      </c>
      <c r="N36" s="20"/>
      <c r="O36" s="14" t="s">
        <v>582</v>
      </c>
      <c r="P36" s="38" t="s">
        <v>581</v>
      </c>
      <c r="Q36" s="36">
        <v>74</v>
      </c>
      <c r="S36" s="14" t="s">
        <v>15</v>
      </c>
      <c r="T36" s="38" t="s">
        <v>16</v>
      </c>
      <c r="U36" s="36">
        <v>113</v>
      </c>
      <c r="W36" s="14" t="s">
        <v>256</v>
      </c>
      <c r="X36" s="38" t="s">
        <v>255</v>
      </c>
      <c r="Y36" s="36">
        <v>152</v>
      </c>
      <c r="AA36" s="14" t="s">
        <v>703</v>
      </c>
      <c r="AB36" s="38" t="s">
        <v>704</v>
      </c>
      <c r="AC36" s="36">
        <v>191</v>
      </c>
      <c r="AE36" s="14" t="s">
        <v>297</v>
      </c>
      <c r="AF36" s="38" t="s">
        <v>305</v>
      </c>
      <c r="AG36" s="36">
        <v>230</v>
      </c>
      <c r="AI36" s="14" t="s">
        <v>517</v>
      </c>
      <c r="AJ36" s="14" t="s">
        <v>511</v>
      </c>
      <c r="AK36" s="36">
        <v>269</v>
      </c>
      <c r="AM36" s="14" t="s">
        <v>239</v>
      </c>
      <c r="AN36" s="14" t="s">
        <v>240</v>
      </c>
      <c r="AO36" s="36">
        <v>308</v>
      </c>
      <c r="AQ36" s="14" t="s">
        <v>520</v>
      </c>
      <c r="AR36" s="44" t="s">
        <v>521</v>
      </c>
      <c r="AS36" s="36">
        <v>347</v>
      </c>
      <c r="AU36" s="14" t="s">
        <v>836</v>
      </c>
      <c r="AV36" s="14" t="s">
        <v>837</v>
      </c>
      <c r="AW36" s="36">
        <v>386</v>
      </c>
      <c r="AY36" s="14"/>
      <c r="AZ36" s="14"/>
      <c r="BA36" s="36">
        <v>425</v>
      </c>
    </row>
    <row r="37" spans="11:53">
      <c r="K37" s="14" t="s">
        <v>121</v>
      </c>
      <c r="L37" s="38" t="s">
        <v>122</v>
      </c>
      <c r="M37" s="36">
        <v>36</v>
      </c>
      <c r="N37" s="20"/>
      <c r="O37" s="14" t="s">
        <v>128</v>
      </c>
      <c r="P37" s="38" t="s">
        <v>130</v>
      </c>
      <c r="Q37" s="36">
        <v>75</v>
      </c>
      <c r="S37" s="14" t="s">
        <v>689</v>
      </c>
      <c r="T37" s="38" t="s">
        <v>690</v>
      </c>
      <c r="U37" s="36">
        <v>114</v>
      </c>
      <c r="W37" s="14" t="s">
        <v>683</v>
      </c>
      <c r="X37" s="38" t="s">
        <v>684</v>
      </c>
      <c r="Y37" s="36">
        <v>153</v>
      </c>
      <c r="AA37" s="14" t="s">
        <v>705</v>
      </c>
      <c r="AB37" s="38" t="s">
        <v>706</v>
      </c>
      <c r="AC37" s="36">
        <v>192</v>
      </c>
      <c r="AE37" s="14" t="s">
        <v>691</v>
      </c>
      <c r="AF37" s="38" t="s">
        <v>726</v>
      </c>
      <c r="AG37" s="36">
        <v>231</v>
      </c>
      <c r="AI37" s="14" t="s">
        <v>253</v>
      </c>
      <c r="AJ37" s="14" t="s">
        <v>254</v>
      </c>
      <c r="AK37" s="36">
        <v>270</v>
      </c>
      <c r="AM37" s="14" t="s">
        <v>730</v>
      </c>
      <c r="AN37" s="14" t="s">
        <v>729</v>
      </c>
      <c r="AO37" s="36">
        <v>309</v>
      </c>
      <c r="AQ37" s="14" t="s">
        <v>757</v>
      </c>
      <c r="AR37" s="14" t="s">
        <v>758</v>
      </c>
      <c r="AS37" s="36">
        <v>348</v>
      </c>
      <c r="AU37" s="14" t="s">
        <v>838</v>
      </c>
      <c r="AV37" s="14" t="s">
        <v>839</v>
      </c>
      <c r="AW37" s="36">
        <v>387</v>
      </c>
      <c r="AY37" s="14"/>
      <c r="AZ37" s="14"/>
      <c r="BA37" s="36">
        <v>426</v>
      </c>
    </row>
    <row r="38" spans="11:53">
      <c r="K38" s="14" t="s">
        <v>125</v>
      </c>
      <c r="L38" s="38" t="s">
        <v>126</v>
      </c>
      <c r="M38" s="36">
        <v>37</v>
      </c>
      <c r="N38" s="20"/>
      <c r="O38" s="14" t="s">
        <v>127</v>
      </c>
      <c r="P38" s="38" t="s">
        <v>129</v>
      </c>
      <c r="Q38" s="36">
        <v>76</v>
      </c>
      <c r="S38" s="14" t="s">
        <v>724</v>
      </c>
      <c r="T38" s="38" t="s">
        <v>725</v>
      </c>
      <c r="U38" s="36">
        <v>115</v>
      </c>
      <c r="W38" s="14" t="s">
        <v>685</v>
      </c>
      <c r="X38" s="38" t="s">
        <v>686</v>
      </c>
      <c r="Y38" s="36">
        <v>154</v>
      </c>
      <c r="AA38" s="14" t="s">
        <v>679</v>
      </c>
      <c r="AB38" s="38" t="s">
        <v>680</v>
      </c>
      <c r="AC38" s="36">
        <v>193</v>
      </c>
      <c r="AE38" s="14" t="s">
        <v>321</v>
      </c>
      <c r="AF38" s="38" t="s">
        <v>322</v>
      </c>
      <c r="AG38" s="36">
        <v>232</v>
      </c>
      <c r="AI38" s="14" t="s">
        <v>65</v>
      </c>
      <c r="AJ38" s="14" t="s">
        <v>66</v>
      </c>
      <c r="AK38" s="36">
        <v>271</v>
      </c>
      <c r="AM38" s="14" t="s">
        <v>700</v>
      </c>
      <c r="AN38" s="14" t="s">
        <v>759</v>
      </c>
      <c r="AO38" s="36">
        <v>310</v>
      </c>
      <c r="AQ38" s="14" t="s">
        <v>760</v>
      </c>
      <c r="AR38" s="14" t="s">
        <v>761</v>
      </c>
      <c r="AS38" s="36">
        <v>349</v>
      </c>
      <c r="AU38" s="14" t="s">
        <v>840</v>
      </c>
      <c r="AV38" s="14" t="s">
        <v>841</v>
      </c>
      <c r="AW38" s="36">
        <v>388</v>
      </c>
      <c r="AY38" s="14"/>
      <c r="AZ38" s="14"/>
      <c r="BA38" s="36">
        <v>427</v>
      </c>
    </row>
    <row r="39" spans="11:53">
      <c r="K39" s="14" t="s">
        <v>35</v>
      </c>
      <c r="L39" s="38" t="s">
        <v>43</v>
      </c>
      <c r="M39" s="36">
        <v>38</v>
      </c>
      <c r="O39" s="14" t="s">
        <v>454</v>
      </c>
      <c r="P39" s="38" t="s">
        <v>428</v>
      </c>
      <c r="Q39" s="36">
        <v>77</v>
      </c>
      <c r="S39" s="14" t="s">
        <v>651</v>
      </c>
      <c r="T39" s="38" t="s">
        <v>652</v>
      </c>
      <c r="U39" s="36">
        <v>116</v>
      </c>
      <c r="W39" s="14" t="s">
        <v>585</v>
      </c>
      <c r="X39" s="38" t="s">
        <v>586</v>
      </c>
      <c r="Y39" s="36">
        <v>155</v>
      </c>
      <c r="AA39" s="14" t="s">
        <v>663</v>
      </c>
      <c r="AB39" s="38" t="s">
        <v>664</v>
      </c>
      <c r="AC39" s="36">
        <v>194</v>
      </c>
      <c r="AE39" s="14" t="s">
        <v>192</v>
      </c>
      <c r="AF39" s="38" t="s">
        <v>727</v>
      </c>
      <c r="AG39" s="36">
        <v>233</v>
      </c>
      <c r="AI39" s="14" t="s">
        <v>63</v>
      </c>
      <c r="AJ39" s="14" t="s">
        <v>64</v>
      </c>
      <c r="AK39" s="36">
        <v>272</v>
      </c>
      <c r="AM39" s="14" t="s">
        <v>429</v>
      </c>
      <c r="AN39" s="14" t="s">
        <v>430</v>
      </c>
      <c r="AO39" s="36">
        <v>311</v>
      </c>
      <c r="AQ39" s="14" t="s">
        <v>821</v>
      </c>
      <c r="AR39" s="14" t="s">
        <v>822</v>
      </c>
      <c r="AS39" s="36">
        <v>350</v>
      </c>
      <c r="AU39" s="14" t="s">
        <v>842</v>
      </c>
      <c r="AV39" s="14" t="s">
        <v>843</v>
      </c>
      <c r="AW39" s="36">
        <v>389</v>
      </c>
      <c r="AY39" s="14"/>
      <c r="AZ39" s="14"/>
      <c r="BA39" s="36">
        <v>428</v>
      </c>
    </row>
    <row r="63" spans="3:9">
      <c r="C63" s="25"/>
      <c r="D63" s="25"/>
      <c r="E63" s="25"/>
      <c r="F63" s="25"/>
      <c r="G63" s="25"/>
      <c r="H63" s="25"/>
      <c r="I63" s="25"/>
    </row>
    <row r="68" spans="8:8">
      <c r="H68" s="24"/>
    </row>
    <row r="88" spans="3:4">
      <c r="C88" s="30"/>
      <c r="D88" s="30"/>
    </row>
  </sheetData>
  <sortState xmlns:xlrd2="http://schemas.microsoft.com/office/spreadsheetml/2017/richdata2" ref="K2:L346">
    <sortCondition ref="L2:L346"/>
  </sortState>
  <mergeCells count="2">
    <mergeCell ref="B1:G2"/>
    <mergeCell ref="I6:I12"/>
  </mergeCells>
  <phoneticPr fontId="7" type="noConversion"/>
  <printOptions verticalCentered="1"/>
  <pageMargins left="0" right="0" top="0.74803149606299213" bottom="0.7480314960629921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B9410-B1A7-42D7-ABAB-6ECF5B63A094}">
  <sheetPr codeName="Hoja2"/>
  <dimension ref="A1:G417"/>
  <sheetViews>
    <sheetView zoomScale="106" zoomScaleNormal="106" workbookViewId="0">
      <selection activeCell="F2" sqref="F2"/>
    </sheetView>
  </sheetViews>
  <sheetFormatPr baseColWidth="10" defaultRowHeight="14.25"/>
  <cols>
    <col min="1" max="1" width="11.875" bestFit="1" customWidth="1"/>
    <col min="2" max="2" width="38.5" bestFit="1" customWidth="1"/>
    <col min="3" max="3" width="10" customWidth="1"/>
    <col min="4" max="4" width="12.25" customWidth="1"/>
  </cols>
  <sheetData>
    <row r="1" spans="1:5" s="25" customFormat="1">
      <c r="A1" s="33" t="s">
        <v>1</v>
      </c>
      <c r="B1" s="33" t="s">
        <v>2</v>
      </c>
      <c r="C1" s="33" t="s">
        <v>3</v>
      </c>
      <c r="D1" s="33" t="s">
        <v>6</v>
      </c>
      <c r="E1" s="33" t="s">
        <v>5</v>
      </c>
    </row>
    <row r="2" spans="1:5" s="25" customFormat="1">
      <c r="A2" s="33" t="s">
        <v>884</v>
      </c>
      <c r="B2" s="33" t="s">
        <v>885</v>
      </c>
      <c r="C2" s="33">
        <v>10</v>
      </c>
      <c r="D2" s="33">
        <v>1</v>
      </c>
      <c r="E2" s="34">
        <v>45890</v>
      </c>
    </row>
    <row r="3" spans="1:5" s="25" customFormat="1">
      <c r="A3" s="33" t="s">
        <v>657</v>
      </c>
      <c r="B3" s="33" t="s">
        <v>658</v>
      </c>
      <c r="C3" s="33">
        <v>1</v>
      </c>
      <c r="D3" s="33">
        <v>1</v>
      </c>
      <c r="E3" s="34">
        <v>45894</v>
      </c>
    </row>
    <row r="4" spans="1:5" s="25" customFormat="1">
      <c r="A4" s="33" t="s">
        <v>882</v>
      </c>
      <c r="B4" s="33" t="s">
        <v>883</v>
      </c>
      <c r="C4" s="33">
        <v>24</v>
      </c>
      <c r="D4" s="33">
        <v>1</v>
      </c>
      <c r="E4" s="34">
        <v>45890</v>
      </c>
    </row>
    <row r="5" spans="1:5" s="25" customFormat="1">
      <c r="A5" s="33" t="s">
        <v>880</v>
      </c>
      <c r="B5" s="33" t="s">
        <v>881</v>
      </c>
      <c r="C5" s="33">
        <v>1500</v>
      </c>
      <c r="D5" s="33">
        <v>1</v>
      </c>
      <c r="E5" s="34">
        <v>45890</v>
      </c>
    </row>
    <row r="6" spans="1:5" s="25" customFormat="1">
      <c r="A6" s="33" t="s">
        <v>878</v>
      </c>
      <c r="B6" s="33" t="s">
        <v>879</v>
      </c>
      <c r="C6" s="33">
        <v>36</v>
      </c>
      <c r="D6" s="33">
        <v>1</v>
      </c>
      <c r="E6" s="34">
        <v>45890</v>
      </c>
    </row>
    <row r="7" spans="1:5" s="25" customFormat="1">
      <c r="A7" s="33" t="s">
        <v>876</v>
      </c>
      <c r="B7" s="33" t="s">
        <v>877</v>
      </c>
      <c r="C7" s="33">
        <v>40</v>
      </c>
      <c r="D7" s="33">
        <v>1</v>
      </c>
      <c r="E7" s="34">
        <v>45890</v>
      </c>
    </row>
    <row r="8" spans="1:5" s="25" customFormat="1">
      <c r="A8" s="33" t="s">
        <v>874</v>
      </c>
      <c r="B8" s="33" t="s">
        <v>875</v>
      </c>
      <c r="C8" s="33">
        <v>40</v>
      </c>
      <c r="D8" s="33">
        <v>1</v>
      </c>
      <c r="E8" s="34">
        <v>45890</v>
      </c>
    </row>
    <row r="9" spans="1:5" s="25" customFormat="1">
      <c r="A9" s="33" t="s">
        <v>872</v>
      </c>
      <c r="B9" s="33" t="s">
        <v>873</v>
      </c>
      <c r="C9" s="33">
        <v>40</v>
      </c>
      <c r="D9" s="33">
        <v>1</v>
      </c>
      <c r="E9" s="34">
        <v>45890</v>
      </c>
    </row>
    <row r="10" spans="1:5" s="25" customFormat="1">
      <c r="A10" s="33" t="s">
        <v>870</v>
      </c>
      <c r="B10" s="33" t="s">
        <v>871</v>
      </c>
      <c r="C10" s="33">
        <v>48</v>
      </c>
      <c r="D10" s="33">
        <v>1</v>
      </c>
      <c r="E10" s="34">
        <v>45890</v>
      </c>
    </row>
    <row r="11" spans="1:5" s="25" customFormat="1">
      <c r="A11" s="33" t="s">
        <v>868</v>
      </c>
      <c r="B11" s="33" t="s">
        <v>869</v>
      </c>
      <c r="C11" s="33">
        <v>24</v>
      </c>
      <c r="D11" s="33">
        <v>1</v>
      </c>
      <c r="E11" s="34">
        <v>45890</v>
      </c>
    </row>
    <row r="12" spans="1:5" s="25" customFormat="1">
      <c r="A12" s="33" t="s">
        <v>867</v>
      </c>
      <c r="B12" s="33" t="s">
        <v>866</v>
      </c>
      <c r="C12" s="33">
        <v>36</v>
      </c>
      <c r="D12" s="33">
        <v>1</v>
      </c>
      <c r="E12" s="34">
        <v>45890</v>
      </c>
    </row>
    <row r="13" spans="1:5" s="25" customFormat="1">
      <c r="A13" s="33" t="s">
        <v>864</v>
      </c>
      <c r="B13" s="33" t="s">
        <v>865</v>
      </c>
      <c r="C13" s="33">
        <v>46</v>
      </c>
      <c r="D13" s="33">
        <v>1</v>
      </c>
      <c r="E13" s="34">
        <v>45890</v>
      </c>
    </row>
    <row r="14" spans="1:5" s="25" customFormat="1">
      <c r="A14" s="33" t="s">
        <v>863</v>
      </c>
      <c r="B14" s="33" t="s">
        <v>862</v>
      </c>
      <c r="C14" s="33">
        <v>20</v>
      </c>
      <c r="D14" s="33">
        <v>1</v>
      </c>
      <c r="E14" s="34">
        <v>45890</v>
      </c>
    </row>
    <row r="15" spans="1:5" s="25" customFormat="1">
      <c r="A15" s="33" t="s">
        <v>860</v>
      </c>
      <c r="B15" s="33" t="s">
        <v>861</v>
      </c>
      <c r="C15" s="33">
        <v>60</v>
      </c>
      <c r="D15" s="33">
        <v>1</v>
      </c>
      <c r="E15" s="34">
        <v>45894</v>
      </c>
    </row>
    <row r="16" spans="1:5" s="25" customFormat="1">
      <c r="A16" s="33" t="s">
        <v>858</v>
      </c>
      <c r="B16" s="33" t="s">
        <v>859</v>
      </c>
      <c r="C16" s="33">
        <v>350</v>
      </c>
      <c r="D16" s="33">
        <v>1</v>
      </c>
      <c r="E16" s="34">
        <v>45890</v>
      </c>
    </row>
    <row r="17" spans="1:5" s="25" customFormat="1">
      <c r="A17" s="33" t="s">
        <v>857</v>
      </c>
      <c r="B17" s="33" t="s">
        <v>856</v>
      </c>
      <c r="C17" s="33">
        <v>250</v>
      </c>
      <c r="D17" s="33">
        <v>1</v>
      </c>
      <c r="E17" s="34">
        <v>45894</v>
      </c>
    </row>
    <row r="18" spans="1:5" s="25" customFormat="1">
      <c r="A18" s="33" t="s">
        <v>854</v>
      </c>
      <c r="B18" s="33" t="s">
        <v>855</v>
      </c>
      <c r="C18" s="33">
        <v>60</v>
      </c>
      <c r="D18" s="33">
        <v>1</v>
      </c>
      <c r="E18" s="34">
        <v>45894</v>
      </c>
    </row>
    <row r="19" spans="1:5" s="25" customFormat="1">
      <c r="A19" s="33" t="s">
        <v>852</v>
      </c>
      <c r="B19" s="33" t="s">
        <v>853</v>
      </c>
      <c r="C19" s="33">
        <v>1</v>
      </c>
      <c r="D19" s="33">
        <v>1</v>
      </c>
      <c r="E19" s="34">
        <v>45891</v>
      </c>
    </row>
    <row r="20" spans="1:5" s="25" customFormat="1">
      <c r="A20" s="33" t="s">
        <v>850</v>
      </c>
      <c r="B20" s="33" t="s">
        <v>851</v>
      </c>
      <c r="C20" s="33">
        <v>2</v>
      </c>
      <c r="D20" s="33">
        <v>1</v>
      </c>
      <c r="E20" s="34">
        <v>45891</v>
      </c>
    </row>
    <row r="21" spans="1:5" s="25" customFormat="1">
      <c r="A21" s="33" t="s">
        <v>848</v>
      </c>
      <c r="B21" s="33" t="s">
        <v>849</v>
      </c>
      <c r="C21" s="33">
        <v>10</v>
      </c>
      <c r="D21" s="33">
        <v>1</v>
      </c>
      <c r="E21" s="34">
        <v>45891</v>
      </c>
    </row>
    <row r="22" spans="1:5" s="25" customFormat="1">
      <c r="A22" s="33" t="s">
        <v>846</v>
      </c>
      <c r="B22" s="33" t="s">
        <v>847</v>
      </c>
      <c r="C22" s="33">
        <v>8</v>
      </c>
      <c r="D22" s="33">
        <v>1</v>
      </c>
      <c r="E22" s="34">
        <v>45891</v>
      </c>
    </row>
    <row r="23" spans="1:5" s="25" customFormat="1">
      <c r="A23" s="33" t="s">
        <v>844</v>
      </c>
      <c r="B23" s="33" t="s">
        <v>845</v>
      </c>
      <c r="C23" s="33">
        <v>500</v>
      </c>
      <c r="D23" s="33">
        <v>1</v>
      </c>
      <c r="E23" s="34">
        <v>45891</v>
      </c>
    </row>
    <row r="24" spans="1:5" s="25" customFormat="1">
      <c r="A24" s="33" t="s">
        <v>842</v>
      </c>
      <c r="B24" s="33" t="s">
        <v>843</v>
      </c>
      <c r="C24" s="33">
        <v>4</v>
      </c>
      <c r="D24" s="33">
        <v>1</v>
      </c>
      <c r="E24" s="34">
        <v>45891</v>
      </c>
    </row>
    <row r="25" spans="1:5" s="25" customFormat="1">
      <c r="A25" s="33" t="s">
        <v>840</v>
      </c>
      <c r="B25" s="33" t="s">
        <v>841</v>
      </c>
      <c r="C25" s="33">
        <v>180</v>
      </c>
      <c r="D25" s="33">
        <v>1</v>
      </c>
      <c r="E25" s="34">
        <v>45891</v>
      </c>
    </row>
    <row r="26" spans="1:5" s="25" customFormat="1">
      <c r="A26" s="33" t="s">
        <v>838</v>
      </c>
      <c r="B26" s="33" t="s">
        <v>839</v>
      </c>
      <c r="C26" s="33">
        <v>120</v>
      </c>
      <c r="D26" s="33">
        <v>1</v>
      </c>
      <c r="E26" s="34">
        <v>45891</v>
      </c>
    </row>
    <row r="27" spans="1:5" s="25" customFormat="1">
      <c r="A27" s="33" t="s">
        <v>836</v>
      </c>
      <c r="B27" s="33" t="s">
        <v>837</v>
      </c>
      <c r="C27" s="33">
        <v>30</v>
      </c>
      <c r="D27" s="33">
        <v>1</v>
      </c>
      <c r="E27" s="34">
        <v>45888</v>
      </c>
    </row>
    <row r="28" spans="1:5" s="25" customFormat="1">
      <c r="A28" s="33" t="s">
        <v>833</v>
      </c>
      <c r="B28" s="33" t="s">
        <v>834</v>
      </c>
      <c r="C28" s="33">
        <v>1</v>
      </c>
      <c r="D28" s="33">
        <v>1</v>
      </c>
      <c r="E28" s="34">
        <v>45883</v>
      </c>
    </row>
    <row r="29" spans="1:5" s="25" customFormat="1">
      <c r="A29" s="33" t="s">
        <v>352</v>
      </c>
      <c r="B29" s="33" t="s">
        <v>353</v>
      </c>
      <c r="C29" s="33">
        <v>3</v>
      </c>
      <c r="D29" s="33">
        <v>1</v>
      </c>
      <c r="E29" s="34">
        <v>45883</v>
      </c>
    </row>
    <row r="30" spans="1:5" s="25" customFormat="1">
      <c r="A30" s="33" t="s">
        <v>366</v>
      </c>
      <c r="B30" s="33" t="s">
        <v>367</v>
      </c>
      <c r="C30" s="33">
        <v>3</v>
      </c>
      <c r="D30" s="33">
        <v>1</v>
      </c>
      <c r="E30" s="34">
        <v>45883</v>
      </c>
    </row>
    <row r="31" spans="1:5" s="25" customFormat="1">
      <c r="A31" s="33" t="s">
        <v>831</v>
      </c>
      <c r="B31" s="33" t="s">
        <v>832</v>
      </c>
      <c r="C31" s="33">
        <v>3</v>
      </c>
      <c r="D31" s="33">
        <v>1</v>
      </c>
      <c r="E31" s="34">
        <v>45883</v>
      </c>
    </row>
    <row r="32" spans="1:5" s="25" customFormat="1">
      <c r="A32" s="33" t="s">
        <v>821</v>
      </c>
      <c r="B32" s="33" t="s">
        <v>822</v>
      </c>
      <c r="C32" s="33">
        <v>20</v>
      </c>
      <c r="D32" s="33">
        <v>1</v>
      </c>
      <c r="E32" s="34">
        <v>45882</v>
      </c>
    </row>
    <row r="33" spans="1:5" s="25" customFormat="1">
      <c r="A33" s="33" t="s">
        <v>819</v>
      </c>
      <c r="B33" s="33" t="s">
        <v>820</v>
      </c>
      <c r="C33" s="33">
        <v>320</v>
      </c>
      <c r="D33" s="33">
        <v>1</v>
      </c>
      <c r="E33" s="34">
        <v>45881</v>
      </c>
    </row>
    <row r="34" spans="1:5" s="25" customFormat="1">
      <c r="A34" s="33" t="s">
        <v>817</v>
      </c>
      <c r="B34" s="33" t="s">
        <v>818</v>
      </c>
      <c r="C34" s="33">
        <v>200</v>
      </c>
      <c r="D34" s="33">
        <v>1</v>
      </c>
      <c r="E34" s="34">
        <v>45881</v>
      </c>
    </row>
    <row r="35" spans="1:5" s="25" customFormat="1">
      <c r="A35" s="33" t="s">
        <v>814</v>
      </c>
      <c r="B35" s="33" t="s">
        <v>816</v>
      </c>
      <c r="C35" s="33">
        <v>20</v>
      </c>
      <c r="D35" s="33">
        <v>1</v>
      </c>
      <c r="E35" s="34">
        <v>45880</v>
      </c>
    </row>
    <row r="36" spans="1:5" s="25" customFormat="1">
      <c r="A36" s="33" t="s">
        <v>813</v>
      </c>
      <c r="B36" s="33" t="s">
        <v>815</v>
      </c>
      <c r="C36" s="33">
        <v>20</v>
      </c>
      <c r="D36" s="33">
        <v>1</v>
      </c>
      <c r="E36" s="34">
        <v>45880</v>
      </c>
    </row>
    <row r="37" spans="1:5" s="25" customFormat="1">
      <c r="A37" s="33" t="s">
        <v>811</v>
      </c>
      <c r="B37" s="33" t="s">
        <v>812</v>
      </c>
      <c r="C37" s="33">
        <v>20</v>
      </c>
      <c r="D37" s="33">
        <v>1</v>
      </c>
      <c r="E37" s="34">
        <v>45880</v>
      </c>
    </row>
    <row r="38" spans="1:5" s="25" customFormat="1">
      <c r="A38" s="33" t="s">
        <v>807</v>
      </c>
      <c r="B38" s="33" t="s">
        <v>810</v>
      </c>
      <c r="C38" s="33">
        <v>20</v>
      </c>
      <c r="D38" s="33">
        <v>1</v>
      </c>
      <c r="E38" s="34">
        <v>45880</v>
      </c>
    </row>
    <row r="39" spans="1:5" s="25" customFormat="1">
      <c r="A39" s="33" t="s">
        <v>806</v>
      </c>
      <c r="B39" s="33" t="s">
        <v>809</v>
      </c>
      <c r="C39" s="33">
        <v>20</v>
      </c>
      <c r="D39" s="33">
        <v>1</v>
      </c>
      <c r="E39" s="34">
        <v>45880</v>
      </c>
    </row>
    <row r="40" spans="1:5" s="25" customFormat="1">
      <c r="A40" s="33" t="s">
        <v>805</v>
      </c>
      <c r="B40" s="33" t="s">
        <v>808</v>
      </c>
      <c r="C40" s="33">
        <v>20</v>
      </c>
      <c r="D40" s="33">
        <v>1</v>
      </c>
      <c r="E40" s="34">
        <v>45880</v>
      </c>
    </row>
    <row r="41" spans="1:5" s="25" customFormat="1">
      <c r="A41" s="33" t="s">
        <v>804</v>
      </c>
      <c r="B41" s="33" t="s">
        <v>803</v>
      </c>
      <c r="C41" s="33">
        <v>20</v>
      </c>
      <c r="D41" s="33">
        <v>1</v>
      </c>
      <c r="E41" s="34">
        <v>45880</v>
      </c>
    </row>
    <row r="42" spans="1:5" s="25" customFormat="1">
      <c r="A42" s="33" t="s">
        <v>801</v>
      </c>
      <c r="B42" s="33" t="s">
        <v>802</v>
      </c>
      <c r="C42" s="33">
        <v>20</v>
      </c>
      <c r="D42" s="33">
        <v>1</v>
      </c>
      <c r="E42" s="34">
        <v>45880</v>
      </c>
    </row>
    <row r="43" spans="1:5" s="25" customFormat="1">
      <c r="A43" s="33" t="s">
        <v>799</v>
      </c>
      <c r="B43" s="33" t="s">
        <v>800</v>
      </c>
      <c r="C43" s="33">
        <v>20</v>
      </c>
      <c r="D43" s="33">
        <v>1</v>
      </c>
      <c r="E43" s="34">
        <v>45880</v>
      </c>
    </row>
    <row r="44" spans="1:5" s="25" customFormat="1">
      <c r="A44" s="33" t="s">
        <v>797</v>
      </c>
      <c r="B44" s="33" t="s">
        <v>798</v>
      </c>
      <c r="C44" s="33">
        <v>20</v>
      </c>
      <c r="D44" s="33">
        <v>1</v>
      </c>
      <c r="E44" s="34">
        <v>45880</v>
      </c>
    </row>
    <row r="45" spans="1:5" s="25" customFormat="1">
      <c r="A45" s="33" t="s">
        <v>795</v>
      </c>
      <c r="B45" s="33" t="s">
        <v>796</v>
      </c>
      <c r="C45" s="33">
        <v>20</v>
      </c>
      <c r="D45" s="33">
        <v>1</v>
      </c>
      <c r="E45" s="34">
        <v>45880</v>
      </c>
    </row>
    <row r="46" spans="1:5" s="25" customFormat="1">
      <c r="A46" s="33" t="s">
        <v>793</v>
      </c>
      <c r="B46" s="33" t="s">
        <v>794</v>
      </c>
      <c r="C46" s="33">
        <v>20</v>
      </c>
      <c r="D46" s="33">
        <v>1</v>
      </c>
      <c r="E46" s="34">
        <v>45880</v>
      </c>
    </row>
    <row r="47" spans="1:5" s="25" customFormat="1">
      <c r="A47" s="33" t="s">
        <v>791</v>
      </c>
      <c r="B47" s="33" t="s">
        <v>792</v>
      </c>
      <c r="C47" s="33">
        <v>20</v>
      </c>
      <c r="D47" s="33">
        <v>1</v>
      </c>
      <c r="E47" s="34">
        <v>45880</v>
      </c>
    </row>
    <row r="48" spans="1:5" s="25" customFormat="1">
      <c r="A48" s="33" t="s">
        <v>789</v>
      </c>
      <c r="B48" s="33" t="s">
        <v>790</v>
      </c>
      <c r="C48" s="33">
        <v>20</v>
      </c>
      <c r="D48" s="33">
        <v>1</v>
      </c>
      <c r="E48" s="34">
        <v>45880</v>
      </c>
    </row>
    <row r="49" spans="1:5" s="25" customFormat="1">
      <c r="A49" s="33" t="s">
        <v>787</v>
      </c>
      <c r="B49" s="33" t="s">
        <v>788</v>
      </c>
      <c r="C49" s="33">
        <v>20</v>
      </c>
      <c r="D49" s="33">
        <v>1</v>
      </c>
      <c r="E49" s="34">
        <v>45880</v>
      </c>
    </row>
    <row r="50" spans="1:5" s="25" customFormat="1">
      <c r="A50" s="33" t="s">
        <v>785</v>
      </c>
      <c r="B50" s="33" t="s">
        <v>786</v>
      </c>
      <c r="C50" s="33">
        <v>20</v>
      </c>
      <c r="D50" s="33">
        <v>1</v>
      </c>
      <c r="E50" s="34">
        <v>45880</v>
      </c>
    </row>
    <row r="51" spans="1:5" s="25" customFormat="1">
      <c r="A51" s="33" t="s">
        <v>783</v>
      </c>
      <c r="B51" s="33" t="s">
        <v>784</v>
      </c>
      <c r="C51" s="33">
        <v>20</v>
      </c>
      <c r="D51" s="33">
        <v>1</v>
      </c>
      <c r="E51" s="34">
        <v>45880</v>
      </c>
    </row>
    <row r="52" spans="1:5" s="25" customFormat="1">
      <c r="A52" s="33" t="s">
        <v>781</v>
      </c>
      <c r="B52" s="33" t="s">
        <v>782</v>
      </c>
      <c r="C52" s="33">
        <v>20</v>
      </c>
      <c r="D52" s="33">
        <v>1</v>
      </c>
      <c r="E52" s="34">
        <v>45880</v>
      </c>
    </row>
    <row r="53" spans="1:5" s="25" customFormat="1">
      <c r="A53" s="33" t="s">
        <v>779</v>
      </c>
      <c r="B53" s="33" t="s">
        <v>780</v>
      </c>
      <c r="C53" s="33">
        <v>10</v>
      </c>
      <c r="D53" s="33">
        <v>1</v>
      </c>
      <c r="E53" s="34">
        <v>45880</v>
      </c>
    </row>
    <row r="54" spans="1:5" s="25" customFormat="1">
      <c r="A54" s="33" t="s">
        <v>777</v>
      </c>
      <c r="B54" s="33" t="s">
        <v>778</v>
      </c>
      <c r="C54" s="33">
        <v>10</v>
      </c>
      <c r="D54" s="33">
        <v>1</v>
      </c>
      <c r="E54" s="34">
        <v>45880</v>
      </c>
    </row>
    <row r="55" spans="1:5" s="25" customFormat="1">
      <c r="A55" s="33" t="s">
        <v>775</v>
      </c>
      <c r="B55" s="33" t="s">
        <v>776</v>
      </c>
      <c r="C55" s="33">
        <v>10</v>
      </c>
      <c r="D55" s="33">
        <v>1</v>
      </c>
      <c r="E55" s="34">
        <v>45880</v>
      </c>
    </row>
    <row r="56" spans="1:5" s="25" customFormat="1">
      <c r="A56" s="33" t="s">
        <v>773</v>
      </c>
      <c r="B56" s="33" t="s">
        <v>774</v>
      </c>
      <c r="C56" s="33">
        <v>20</v>
      </c>
      <c r="D56" s="33">
        <v>1</v>
      </c>
      <c r="E56" s="34">
        <v>45880</v>
      </c>
    </row>
    <row r="57" spans="1:5" s="25" customFormat="1">
      <c r="A57" s="33" t="s">
        <v>771</v>
      </c>
      <c r="B57" s="33" t="s">
        <v>772</v>
      </c>
      <c r="C57" s="33">
        <v>20</v>
      </c>
      <c r="D57" s="33">
        <v>1</v>
      </c>
      <c r="E57" s="34">
        <v>45880</v>
      </c>
    </row>
    <row r="58" spans="1:5" s="25" customFormat="1">
      <c r="A58" s="33" t="s">
        <v>371</v>
      </c>
      <c r="B58" s="33" t="s">
        <v>769</v>
      </c>
      <c r="C58" s="33">
        <v>20</v>
      </c>
      <c r="D58" s="33">
        <v>1</v>
      </c>
      <c r="E58" s="34">
        <v>45880</v>
      </c>
    </row>
    <row r="59" spans="1:5" s="25" customFormat="1">
      <c r="A59" s="33" t="s">
        <v>373</v>
      </c>
      <c r="B59" s="33" t="s">
        <v>766</v>
      </c>
      <c r="C59" s="33">
        <v>20</v>
      </c>
      <c r="D59" s="33">
        <v>1</v>
      </c>
      <c r="E59" s="34">
        <v>45880</v>
      </c>
    </row>
    <row r="60" spans="1:5" s="25" customFormat="1">
      <c r="A60" s="33" t="s">
        <v>372</v>
      </c>
      <c r="B60" s="33" t="s">
        <v>763</v>
      </c>
      <c r="C60" s="33">
        <v>20</v>
      </c>
      <c r="D60" s="33">
        <v>1</v>
      </c>
      <c r="E60" s="34">
        <v>45880</v>
      </c>
    </row>
    <row r="61" spans="1:5" s="25" customFormat="1">
      <c r="A61" s="33" t="s">
        <v>760</v>
      </c>
      <c r="B61" s="33" t="s">
        <v>761</v>
      </c>
      <c r="C61" s="33">
        <v>250</v>
      </c>
      <c r="D61" s="33">
        <v>1</v>
      </c>
      <c r="E61" s="34">
        <v>45874</v>
      </c>
    </row>
    <row r="62" spans="1:5" s="25" customFormat="1">
      <c r="A62" s="33" t="s">
        <v>700</v>
      </c>
      <c r="B62" s="33" t="s">
        <v>759</v>
      </c>
      <c r="C62" s="33">
        <v>118</v>
      </c>
      <c r="D62" s="33">
        <v>1</v>
      </c>
      <c r="E62" s="34">
        <v>45873</v>
      </c>
    </row>
    <row r="63" spans="1:5" s="25" customFormat="1">
      <c r="A63" s="33" t="s">
        <v>757</v>
      </c>
      <c r="B63" s="33" t="s">
        <v>758</v>
      </c>
      <c r="C63" s="33">
        <v>200</v>
      </c>
      <c r="D63" s="33">
        <v>1</v>
      </c>
      <c r="E63" s="34">
        <v>45866</v>
      </c>
    </row>
    <row r="64" spans="1:5" s="25" customFormat="1">
      <c r="A64" s="33" t="s">
        <v>659</v>
      </c>
      <c r="B64" s="33" t="s">
        <v>660</v>
      </c>
      <c r="C64" s="33">
        <v>200</v>
      </c>
      <c r="D64" s="33">
        <v>1</v>
      </c>
      <c r="E64" s="34">
        <v>45852</v>
      </c>
    </row>
    <row r="65" spans="1:5" s="25" customFormat="1">
      <c r="A65" s="33" t="s">
        <v>657</v>
      </c>
      <c r="B65" s="33" t="s">
        <v>658</v>
      </c>
      <c r="C65" s="33">
        <v>50</v>
      </c>
      <c r="D65" s="33">
        <v>1</v>
      </c>
      <c r="E65" s="34">
        <v>45852</v>
      </c>
    </row>
    <row r="66" spans="1:5" s="25" customFormat="1">
      <c r="A66" s="33" t="s">
        <v>655</v>
      </c>
      <c r="B66" s="33" t="s">
        <v>656</v>
      </c>
      <c r="C66" s="33">
        <v>100</v>
      </c>
      <c r="D66" s="33">
        <v>1</v>
      </c>
      <c r="E66" s="34">
        <v>45852</v>
      </c>
    </row>
    <row r="67" spans="1:5" s="25" customFormat="1">
      <c r="A67" s="33" t="s">
        <v>653</v>
      </c>
      <c r="B67" s="33" t="s">
        <v>654</v>
      </c>
      <c r="C67" s="33">
        <v>100</v>
      </c>
      <c r="D67" s="33">
        <v>1</v>
      </c>
      <c r="E67" s="34">
        <v>45852</v>
      </c>
    </row>
    <row r="68" spans="1:5" s="25" customFormat="1">
      <c r="A68" s="33" t="s">
        <v>651</v>
      </c>
      <c r="B68" s="33" t="s">
        <v>652</v>
      </c>
      <c r="C68" s="33">
        <v>100</v>
      </c>
      <c r="D68" s="33">
        <v>1</v>
      </c>
      <c r="E68" s="34">
        <v>45852</v>
      </c>
    </row>
    <row r="69" spans="1:5" s="25" customFormat="1">
      <c r="A69" s="33" t="s">
        <v>25</v>
      </c>
      <c r="B69" s="33" t="s">
        <v>26</v>
      </c>
      <c r="C69" s="33">
        <v>100</v>
      </c>
      <c r="D69" s="33">
        <v>1</v>
      </c>
      <c r="E69" s="34">
        <v>45852</v>
      </c>
    </row>
    <row r="70" spans="1:5" s="25" customFormat="1">
      <c r="A70" s="33" t="s">
        <v>649</v>
      </c>
      <c r="B70" s="33" t="s">
        <v>650</v>
      </c>
      <c r="C70" s="33">
        <v>500</v>
      </c>
      <c r="D70" s="33">
        <v>1</v>
      </c>
      <c r="E70" s="34">
        <v>45852</v>
      </c>
    </row>
    <row r="71" spans="1:5" s="25" customFormat="1">
      <c r="A71" s="33" t="s">
        <v>647</v>
      </c>
      <c r="B71" s="33" t="s">
        <v>648</v>
      </c>
      <c r="C71" s="33">
        <v>300</v>
      </c>
      <c r="D71" s="33">
        <v>1</v>
      </c>
      <c r="E71" s="34">
        <v>45852</v>
      </c>
    </row>
    <row r="72" spans="1:5" s="25" customFormat="1">
      <c r="A72" s="33" t="s">
        <v>645</v>
      </c>
      <c r="B72" s="33" t="s">
        <v>646</v>
      </c>
      <c r="C72" s="33">
        <v>100</v>
      </c>
      <c r="D72" s="33">
        <v>1</v>
      </c>
      <c r="E72" s="34">
        <v>45852</v>
      </c>
    </row>
    <row r="73" spans="1:5" s="25" customFormat="1">
      <c r="A73" s="33" t="s">
        <v>643</v>
      </c>
      <c r="B73" s="33" t="s">
        <v>644</v>
      </c>
      <c r="C73" s="33">
        <v>100</v>
      </c>
      <c r="D73" s="33">
        <v>1</v>
      </c>
      <c r="E73" s="34">
        <v>45852</v>
      </c>
    </row>
    <row r="74" spans="1:5" s="25" customFormat="1">
      <c r="A74" s="33" t="s">
        <v>641</v>
      </c>
      <c r="B74" s="33" t="s">
        <v>642</v>
      </c>
      <c r="C74" s="33">
        <v>100</v>
      </c>
      <c r="D74" s="33">
        <v>1</v>
      </c>
      <c r="E74" s="34">
        <v>45852</v>
      </c>
    </row>
    <row r="75" spans="1:5" s="25" customFormat="1">
      <c r="A75" s="33" t="s">
        <v>633</v>
      </c>
      <c r="B75" s="33" t="s">
        <v>640</v>
      </c>
      <c r="C75" s="33">
        <v>100</v>
      </c>
      <c r="D75" s="33">
        <v>1</v>
      </c>
      <c r="E75" s="34">
        <v>45852</v>
      </c>
    </row>
    <row r="76" spans="1:5" s="25" customFormat="1">
      <c r="A76" s="33" t="s">
        <v>632</v>
      </c>
      <c r="B76" s="33" t="s">
        <v>639</v>
      </c>
      <c r="C76" s="33">
        <v>100</v>
      </c>
      <c r="D76" s="33">
        <v>1</v>
      </c>
      <c r="E76" s="34">
        <v>45852</v>
      </c>
    </row>
    <row r="77" spans="1:5" s="25" customFormat="1">
      <c r="A77" s="33" t="s">
        <v>631</v>
      </c>
      <c r="B77" s="33" t="s">
        <v>638</v>
      </c>
      <c r="C77" s="33">
        <v>100</v>
      </c>
      <c r="D77" s="33">
        <v>1</v>
      </c>
      <c r="E77" s="34">
        <v>45852</v>
      </c>
    </row>
    <row r="78" spans="1:5" s="25" customFormat="1">
      <c r="A78" s="33" t="s">
        <v>630</v>
      </c>
      <c r="B78" s="33" t="s">
        <v>637</v>
      </c>
      <c r="C78" s="33">
        <v>200</v>
      </c>
      <c r="D78" s="33">
        <v>1</v>
      </c>
      <c r="E78" s="34">
        <v>45852</v>
      </c>
    </row>
    <row r="79" spans="1:5" s="25" customFormat="1">
      <c r="A79" s="33" t="s">
        <v>629</v>
      </c>
      <c r="B79" s="33" t="s">
        <v>636</v>
      </c>
      <c r="C79" s="33">
        <v>500</v>
      </c>
      <c r="D79" s="33">
        <v>1</v>
      </c>
      <c r="E79" s="34">
        <v>45852</v>
      </c>
    </row>
    <row r="80" spans="1:5" s="25" customFormat="1">
      <c r="A80" s="33" t="s">
        <v>628</v>
      </c>
      <c r="B80" s="33" t="s">
        <v>635</v>
      </c>
      <c r="C80" s="33">
        <v>1000</v>
      </c>
      <c r="D80" s="33">
        <v>1</v>
      </c>
      <c r="E80" s="34">
        <v>45852</v>
      </c>
    </row>
    <row r="81" spans="1:5" s="25" customFormat="1">
      <c r="A81" s="33" t="s">
        <v>627</v>
      </c>
      <c r="B81" s="33" t="s">
        <v>634</v>
      </c>
      <c r="C81" s="33">
        <v>1000</v>
      </c>
      <c r="D81" s="33">
        <v>1</v>
      </c>
      <c r="E81" s="34">
        <v>45852</v>
      </c>
    </row>
    <row r="82" spans="1:5" s="25" customFormat="1">
      <c r="A82" s="33" t="s">
        <v>620</v>
      </c>
      <c r="B82" s="33" t="s">
        <v>625</v>
      </c>
      <c r="C82" s="33">
        <v>200</v>
      </c>
      <c r="D82" s="33">
        <v>1</v>
      </c>
      <c r="E82" s="34">
        <v>45852</v>
      </c>
    </row>
    <row r="83" spans="1:5" s="25" customFormat="1">
      <c r="A83" s="33" t="s">
        <v>626</v>
      </c>
      <c r="B83" s="33" t="s">
        <v>624</v>
      </c>
      <c r="C83" s="33">
        <v>1000</v>
      </c>
      <c r="D83" s="33">
        <v>1</v>
      </c>
      <c r="E83" s="34">
        <v>45852</v>
      </c>
    </row>
    <row r="84" spans="1:5" s="25" customFormat="1">
      <c r="A84" s="33" t="s">
        <v>618</v>
      </c>
      <c r="B84" s="33" t="s">
        <v>623</v>
      </c>
      <c r="C84" s="33">
        <v>500</v>
      </c>
      <c r="D84" s="33">
        <v>1</v>
      </c>
      <c r="E84" s="34">
        <v>45852</v>
      </c>
    </row>
    <row r="85" spans="1:5" s="25" customFormat="1">
      <c r="A85" s="33" t="s">
        <v>617</v>
      </c>
      <c r="B85" s="33" t="s">
        <v>622</v>
      </c>
      <c r="C85" s="33">
        <v>1000</v>
      </c>
      <c r="D85" s="33">
        <v>1</v>
      </c>
      <c r="E85" s="34">
        <v>45852</v>
      </c>
    </row>
    <row r="86" spans="1:5" s="25" customFormat="1">
      <c r="A86" s="33" t="s">
        <v>616</v>
      </c>
      <c r="B86" s="33" t="s">
        <v>621</v>
      </c>
      <c r="C86" s="33">
        <v>1000</v>
      </c>
      <c r="D86" s="33">
        <v>1</v>
      </c>
      <c r="E86" s="34">
        <v>45852</v>
      </c>
    </row>
    <row r="87" spans="1:5" s="25" customFormat="1">
      <c r="A87" s="33" t="s">
        <v>614</v>
      </c>
      <c r="B87" s="33" t="s">
        <v>615</v>
      </c>
      <c r="C87" s="33">
        <v>100</v>
      </c>
      <c r="D87" s="33">
        <v>1</v>
      </c>
      <c r="E87" s="34">
        <v>45848</v>
      </c>
    </row>
    <row r="88" spans="1:5" s="25" customFormat="1">
      <c r="A88" s="33" t="s">
        <v>612</v>
      </c>
      <c r="B88" s="33" t="s">
        <v>613</v>
      </c>
      <c r="C88" s="33">
        <v>300</v>
      </c>
      <c r="D88" s="33">
        <v>1</v>
      </c>
      <c r="E88" s="34">
        <v>45848</v>
      </c>
    </row>
    <row r="89" spans="1:5" s="25" customFormat="1">
      <c r="A89" s="33" t="s">
        <v>610</v>
      </c>
      <c r="B89" s="33" t="s">
        <v>611</v>
      </c>
      <c r="C89" s="33">
        <v>300</v>
      </c>
      <c r="D89" s="33">
        <v>1</v>
      </c>
      <c r="E89" s="34">
        <v>45848</v>
      </c>
    </row>
    <row r="90" spans="1:5" s="25" customFormat="1">
      <c r="A90" s="33" t="s">
        <v>608</v>
      </c>
      <c r="B90" s="33" t="s">
        <v>609</v>
      </c>
      <c r="C90" s="33">
        <v>1000</v>
      </c>
      <c r="D90" s="33">
        <v>1</v>
      </c>
      <c r="E90" s="34">
        <v>45848</v>
      </c>
    </row>
    <row r="91" spans="1:5" s="25" customFormat="1">
      <c r="A91" s="33" t="s">
        <v>606</v>
      </c>
      <c r="B91" s="33" t="s">
        <v>607</v>
      </c>
      <c r="C91" s="33">
        <v>1000</v>
      </c>
      <c r="D91" s="33">
        <v>1</v>
      </c>
      <c r="E91" s="34">
        <v>45848</v>
      </c>
    </row>
    <row r="92" spans="1:5" s="25" customFormat="1">
      <c r="A92" s="33" t="s">
        <v>604</v>
      </c>
      <c r="B92" s="33" t="s">
        <v>605</v>
      </c>
      <c r="C92" s="33">
        <v>1000</v>
      </c>
      <c r="D92" s="33">
        <v>1</v>
      </c>
      <c r="E92" s="34">
        <v>45848</v>
      </c>
    </row>
    <row r="93" spans="1:5" s="25" customFormat="1">
      <c r="A93" s="33" t="s">
        <v>602</v>
      </c>
      <c r="B93" s="33" t="s">
        <v>603</v>
      </c>
      <c r="C93" s="33">
        <v>1000</v>
      </c>
      <c r="D93" s="33">
        <v>1</v>
      </c>
      <c r="E93" s="34">
        <v>45848</v>
      </c>
    </row>
    <row r="94" spans="1:5" s="25" customFormat="1">
      <c r="A94" s="33" t="s">
        <v>600</v>
      </c>
      <c r="B94" s="33" t="s">
        <v>601</v>
      </c>
      <c r="C94" s="33">
        <v>240</v>
      </c>
      <c r="D94" s="33">
        <v>1</v>
      </c>
      <c r="E94" s="34">
        <v>45848</v>
      </c>
    </row>
    <row r="95" spans="1:5" s="25" customFormat="1">
      <c r="A95" s="33" t="s">
        <v>597</v>
      </c>
      <c r="B95" s="33" t="s">
        <v>599</v>
      </c>
      <c r="C95" s="33">
        <v>120</v>
      </c>
      <c r="D95" s="33">
        <v>1</v>
      </c>
      <c r="E95" s="34">
        <v>45848</v>
      </c>
    </row>
    <row r="96" spans="1:5" s="25" customFormat="1">
      <c r="A96" s="33" t="s">
        <v>62</v>
      </c>
      <c r="B96" s="33" t="s">
        <v>325</v>
      </c>
      <c r="C96" s="33">
        <v>20</v>
      </c>
      <c r="D96" s="33">
        <v>1</v>
      </c>
      <c r="E96" s="34">
        <v>45848</v>
      </c>
    </row>
    <row r="97" spans="1:5" s="25" customFormat="1">
      <c r="A97" s="33" t="s">
        <v>595</v>
      </c>
      <c r="B97" s="33" t="s">
        <v>596</v>
      </c>
      <c r="C97" s="33">
        <v>20</v>
      </c>
      <c r="D97" s="33">
        <v>1</v>
      </c>
      <c r="E97" s="34">
        <v>45848</v>
      </c>
    </row>
    <row r="98" spans="1:5" s="25" customFormat="1">
      <c r="A98" s="33" t="s">
        <v>119</v>
      </c>
      <c r="B98" s="33" t="s">
        <v>120</v>
      </c>
      <c r="C98" s="33">
        <v>30</v>
      </c>
      <c r="D98" s="33">
        <v>1</v>
      </c>
      <c r="E98" s="34">
        <v>45848</v>
      </c>
    </row>
    <row r="99" spans="1:5" s="25" customFormat="1">
      <c r="A99" s="33" t="s">
        <v>593</v>
      </c>
      <c r="B99" s="33" t="s">
        <v>594</v>
      </c>
      <c r="C99" s="33">
        <v>20</v>
      </c>
      <c r="D99" s="33">
        <v>1</v>
      </c>
      <c r="E99" s="34">
        <v>45848</v>
      </c>
    </row>
    <row r="100" spans="1:5" s="25" customFormat="1">
      <c r="A100" s="33" t="s">
        <v>175</v>
      </c>
      <c r="B100" s="33" t="s">
        <v>176</v>
      </c>
      <c r="C100" s="33">
        <v>30</v>
      </c>
      <c r="D100" s="33">
        <v>1</v>
      </c>
      <c r="E100" s="34">
        <v>45848</v>
      </c>
    </row>
    <row r="101" spans="1:5" s="25" customFormat="1">
      <c r="A101" s="33" t="s">
        <v>591</v>
      </c>
      <c r="B101" s="33" t="s">
        <v>592</v>
      </c>
      <c r="C101" s="33">
        <v>100</v>
      </c>
      <c r="D101" s="33">
        <v>1</v>
      </c>
      <c r="E101" s="34">
        <v>45848</v>
      </c>
    </row>
    <row r="102" spans="1:5" s="25" customFormat="1">
      <c r="A102" s="33" t="s">
        <v>589</v>
      </c>
      <c r="B102" s="33" t="s">
        <v>590</v>
      </c>
      <c r="C102" s="33">
        <v>10</v>
      </c>
      <c r="D102" s="33">
        <v>1</v>
      </c>
      <c r="E102" s="34">
        <v>45848</v>
      </c>
    </row>
    <row r="103" spans="1:5" s="25" customFormat="1">
      <c r="A103" s="33" t="s">
        <v>587</v>
      </c>
      <c r="B103" s="33" t="s">
        <v>588</v>
      </c>
      <c r="C103" s="33">
        <v>30</v>
      </c>
      <c r="D103" s="33">
        <v>1</v>
      </c>
      <c r="E103" s="34">
        <v>45848</v>
      </c>
    </row>
    <row r="104" spans="1:5" s="25" customFormat="1">
      <c r="A104" s="33" t="s">
        <v>585</v>
      </c>
      <c r="B104" s="33" t="s">
        <v>586</v>
      </c>
      <c r="C104" s="33">
        <v>10</v>
      </c>
      <c r="D104" s="33">
        <v>1</v>
      </c>
      <c r="E104" s="34">
        <v>45848</v>
      </c>
    </row>
    <row r="105" spans="1:5" s="25" customFormat="1">
      <c r="A105" s="33" t="s">
        <v>583</v>
      </c>
      <c r="B105" s="33" t="s">
        <v>584</v>
      </c>
      <c r="C105" s="33">
        <v>12</v>
      </c>
      <c r="D105" s="33">
        <v>1</v>
      </c>
      <c r="E105" s="34">
        <v>45848</v>
      </c>
    </row>
    <row r="106" spans="1:5" s="25" customFormat="1">
      <c r="A106" s="33" t="s">
        <v>582</v>
      </c>
      <c r="B106" s="33" t="s">
        <v>581</v>
      </c>
      <c r="C106" s="33">
        <v>12</v>
      </c>
      <c r="D106" s="33">
        <v>1</v>
      </c>
      <c r="E106" s="34">
        <v>45848</v>
      </c>
    </row>
    <row r="107" spans="1:5" s="25" customFormat="1">
      <c r="A107" s="33" t="s">
        <v>579</v>
      </c>
      <c r="B107" s="33" t="s">
        <v>580</v>
      </c>
      <c r="C107" s="33">
        <v>12</v>
      </c>
      <c r="D107" s="33">
        <v>1</v>
      </c>
      <c r="E107" s="34">
        <v>45848</v>
      </c>
    </row>
    <row r="108" spans="1:5" s="25" customFormat="1">
      <c r="A108" s="33" t="s">
        <v>577</v>
      </c>
      <c r="B108" s="33" t="s">
        <v>578</v>
      </c>
      <c r="C108" s="33">
        <v>30</v>
      </c>
      <c r="D108" s="33">
        <v>1</v>
      </c>
      <c r="E108" s="34">
        <v>45848</v>
      </c>
    </row>
    <row r="109" spans="1:5" s="25" customFormat="1">
      <c r="A109" s="33" t="s">
        <v>575</v>
      </c>
      <c r="B109" s="33" t="s">
        <v>576</v>
      </c>
      <c r="C109" s="33">
        <v>1</v>
      </c>
      <c r="D109" s="33">
        <v>1</v>
      </c>
      <c r="E109" s="34">
        <v>45848</v>
      </c>
    </row>
    <row r="110" spans="1:5" s="25" customFormat="1">
      <c r="A110" s="33" t="s">
        <v>573</v>
      </c>
      <c r="B110" s="33" t="s">
        <v>574</v>
      </c>
      <c r="C110" s="33">
        <v>20</v>
      </c>
      <c r="D110" s="33">
        <v>1</v>
      </c>
      <c r="E110" s="34">
        <v>45848</v>
      </c>
    </row>
    <row r="111" spans="1:5" s="25" customFormat="1">
      <c r="A111" s="33" t="s">
        <v>188</v>
      </c>
      <c r="B111" s="33" t="s">
        <v>187</v>
      </c>
      <c r="C111" s="33">
        <v>120</v>
      </c>
      <c r="D111" s="33">
        <v>1</v>
      </c>
      <c r="E111" s="34">
        <v>45848</v>
      </c>
    </row>
    <row r="112" spans="1:5" s="25" customFormat="1">
      <c r="A112" s="33" t="s">
        <v>571</v>
      </c>
      <c r="B112" s="33" t="s">
        <v>572</v>
      </c>
      <c r="C112" s="33">
        <v>30</v>
      </c>
      <c r="D112" s="33">
        <v>1</v>
      </c>
      <c r="E112" s="34">
        <v>45848</v>
      </c>
    </row>
    <row r="113" spans="1:5" s="25" customFormat="1">
      <c r="A113" s="33" t="s">
        <v>198</v>
      </c>
      <c r="B113" s="33" t="s">
        <v>199</v>
      </c>
      <c r="C113" s="33">
        <v>30</v>
      </c>
      <c r="D113" s="33">
        <v>1</v>
      </c>
      <c r="E113" s="34">
        <v>45848</v>
      </c>
    </row>
    <row r="114" spans="1:5" s="25" customFormat="1">
      <c r="A114" s="33" t="s">
        <v>200</v>
      </c>
      <c r="B114" s="33" t="s">
        <v>201</v>
      </c>
      <c r="C114" s="33">
        <v>30</v>
      </c>
      <c r="D114" s="33">
        <v>1</v>
      </c>
      <c r="E114" s="34">
        <v>45848</v>
      </c>
    </row>
    <row r="115" spans="1:5" s="25" customFormat="1">
      <c r="A115" s="33" t="s">
        <v>422</v>
      </c>
      <c r="B115" s="33" t="s">
        <v>432</v>
      </c>
      <c r="C115" s="33">
        <v>30</v>
      </c>
      <c r="D115" s="33">
        <v>1</v>
      </c>
      <c r="E115" s="34">
        <v>45848</v>
      </c>
    </row>
    <row r="116" spans="1:5" s="25" customFormat="1">
      <c r="A116" s="33" t="s">
        <v>569</v>
      </c>
      <c r="B116" s="33" t="s">
        <v>570</v>
      </c>
      <c r="C116" s="33">
        <v>15</v>
      </c>
      <c r="D116" s="33">
        <v>1</v>
      </c>
      <c r="E116" s="34">
        <v>45848</v>
      </c>
    </row>
    <row r="117" spans="1:5" s="25" customFormat="1">
      <c r="A117" s="33" t="s">
        <v>567</v>
      </c>
      <c r="B117" s="33" t="s">
        <v>568</v>
      </c>
      <c r="C117" s="33">
        <v>50</v>
      </c>
      <c r="D117" s="33">
        <v>1</v>
      </c>
      <c r="E117" s="34">
        <v>45848</v>
      </c>
    </row>
    <row r="118" spans="1:5" s="25" customFormat="1">
      <c r="A118" s="33" t="s">
        <v>565</v>
      </c>
      <c r="B118" s="33" t="s">
        <v>566</v>
      </c>
      <c r="C118" s="33">
        <v>50</v>
      </c>
      <c r="D118" s="33">
        <v>1</v>
      </c>
      <c r="E118" s="34">
        <v>45848</v>
      </c>
    </row>
    <row r="119" spans="1:5" s="25" customFormat="1">
      <c r="A119" s="33" t="s">
        <v>563</v>
      </c>
      <c r="B119" s="33" t="s">
        <v>564</v>
      </c>
      <c r="C119" s="33">
        <v>50</v>
      </c>
      <c r="D119" s="33">
        <v>1</v>
      </c>
      <c r="E119" s="34">
        <v>45848</v>
      </c>
    </row>
    <row r="120" spans="1:5" s="25" customFormat="1">
      <c r="A120" s="33" t="s">
        <v>561</v>
      </c>
      <c r="B120" s="33" t="s">
        <v>562</v>
      </c>
      <c r="C120" s="33">
        <v>50</v>
      </c>
      <c r="D120" s="33">
        <v>1</v>
      </c>
      <c r="E120" s="34">
        <v>45848</v>
      </c>
    </row>
    <row r="121" spans="1:5" s="25" customFormat="1">
      <c r="A121" s="33" t="s">
        <v>559</v>
      </c>
      <c r="B121" s="33" t="s">
        <v>560</v>
      </c>
      <c r="C121" s="33">
        <v>50</v>
      </c>
      <c r="D121" s="33">
        <v>1</v>
      </c>
      <c r="E121" s="34">
        <v>45848</v>
      </c>
    </row>
    <row r="122" spans="1:5" s="25" customFormat="1">
      <c r="A122" s="33" t="s">
        <v>558</v>
      </c>
      <c r="B122" s="33" t="s">
        <v>557</v>
      </c>
      <c r="C122" s="33">
        <v>50</v>
      </c>
      <c r="D122" s="33">
        <v>1</v>
      </c>
      <c r="E122" s="34">
        <v>45848</v>
      </c>
    </row>
    <row r="123" spans="1:5" s="25" customFormat="1">
      <c r="A123" s="33" t="s">
        <v>555</v>
      </c>
      <c r="B123" s="33" t="s">
        <v>556</v>
      </c>
      <c r="C123" s="33">
        <v>20</v>
      </c>
      <c r="D123" s="33">
        <v>1</v>
      </c>
      <c r="E123" s="34">
        <v>45848</v>
      </c>
    </row>
    <row r="124" spans="1:5" s="25" customFormat="1">
      <c r="A124" s="33" t="s">
        <v>553</v>
      </c>
      <c r="B124" s="33" t="s">
        <v>554</v>
      </c>
      <c r="C124" s="33">
        <v>100</v>
      </c>
      <c r="D124" s="33">
        <v>1</v>
      </c>
      <c r="E124" s="34">
        <v>45848</v>
      </c>
    </row>
    <row r="125" spans="1:5" s="25" customFormat="1">
      <c r="A125" s="33" t="s">
        <v>551</v>
      </c>
      <c r="B125" s="33" t="s">
        <v>552</v>
      </c>
      <c r="C125" s="33">
        <v>100</v>
      </c>
      <c r="D125" s="33">
        <v>1</v>
      </c>
      <c r="E125" s="34">
        <v>45848</v>
      </c>
    </row>
    <row r="126" spans="1:5" s="25" customFormat="1">
      <c r="A126" s="33" t="s">
        <v>454</v>
      </c>
      <c r="B126" s="33" t="s">
        <v>428</v>
      </c>
      <c r="C126" s="33">
        <v>100</v>
      </c>
      <c r="D126" s="33">
        <v>1</v>
      </c>
      <c r="E126" s="34">
        <v>45848</v>
      </c>
    </row>
    <row r="127" spans="1:5" s="25" customFormat="1">
      <c r="A127" s="33" t="s">
        <v>549</v>
      </c>
      <c r="B127" s="33" t="s">
        <v>550</v>
      </c>
      <c r="C127" s="33">
        <v>1200</v>
      </c>
      <c r="D127" s="33">
        <v>1</v>
      </c>
      <c r="E127" s="34">
        <v>45848</v>
      </c>
    </row>
    <row r="128" spans="1:5" s="25" customFormat="1">
      <c r="A128" s="33" t="s">
        <v>547</v>
      </c>
      <c r="B128" s="33" t="s">
        <v>548</v>
      </c>
      <c r="C128" s="33">
        <v>1000</v>
      </c>
      <c r="D128" s="33">
        <v>1</v>
      </c>
      <c r="E128" s="34">
        <v>45848</v>
      </c>
    </row>
    <row r="129" spans="1:5" s="25" customFormat="1">
      <c r="A129" s="33" t="s">
        <v>545</v>
      </c>
      <c r="B129" s="33" t="s">
        <v>546</v>
      </c>
      <c r="C129" s="33">
        <v>2500</v>
      </c>
      <c r="D129" s="33">
        <v>1</v>
      </c>
      <c r="E129" s="34">
        <v>45848</v>
      </c>
    </row>
    <row r="130" spans="1:5" s="25" customFormat="1">
      <c r="A130" s="33" t="s">
        <v>543</v>
      </c>
      <c r="B130" s="33" t="s">
        <v>544</v>
      </c>
      <c r="C130" s="33">
        <v>1000</v>
      </c>
      <c r="D130" s="33">
        <v>1</v>
      </c>
      <c r="E130" s="34">
        <v>45848</v>
      </c>
    </row>
    <row r="131" spans="1:5" s="25" customFormat="1">
      <c r="A131" s="33" t="s">
        <v>542</v>
      </c>
      <c r="B131" s="33" t="s">
        <v>541</v>
      </c>
      <c r="C131" s="33">
        <v>1000</v>
      </c>
      <c r="D131" s="33">
        <v>1</v>
      </c>
      <c r="E131" s="34">
        <v>45848</v>
      </c>
    </row>
    <row r="132" spans="1:5" s="25" customFormat="1">
      <c r="A132" s="33" t="s">
        <v>539</v>
      </c>
      <c r="B132" s="33" t="s">
        <v>540</v>
      </c>
      <c r="C132" s="33">
        <v>1000</v>
      </c>
      <c r="D132" s="33">
        <v>1</v>
      </c>
      <c r="E132" s="34">
        <v>45848</v>
      </c>
    </row>
    <row r="133" spans="1:5" s="25" customFormat="1">
      <c r="A133" s="33" t="s">
        <v>256</v>
      </c>
      <c r="B133" s="33" t="s">
        <v>255</v>
      </c>
      <c r="C133" s="33">
        <v>25</v>
      </c>
      <c r="D133" s="33">
        <v>1</v>
      </c>
      <c r="E133" s="34">
        <v>45848</v>
      </c>
    </row>
    <row r="134" spans="1:5" s="25" customFormat="1">
      <c r="A134" s="33" t="s">
        <v>257</v>
      </c>
      <c r="B134" s="33" t="s">
        <v>259</v>
      </c>
      <c r="C134" s="33">
        <v>25</v>
      </c>
      <c r="D134" s="33">
        <v>1</v>
      </c>
      <c r="E134" s="34">
        <v>45848</v>
      </c>
    </row>
    <row r="135" spans="1:5" s="25" customFormat="1">
      <c r="A135" s="33" t="s">
        <v>23</v>
      </c>
      <c r="B135" s="33" t="s">
        <v>24</v>
      </c>
      <c r="C135" s="33">
        <v>150</v>
      </c>
      <c r="D135" s="33">
        <v>1</v>
      </c>
      <c r="E135" s="34">
        <v>45848</v>
      </c>
    </row>
    <row r="136" spans="1:5" s="25" customFormat="1">
      <c r="A136" s="33" t="s">
        <v>25</v>
      </c>
      <c r="B136" s="33" t="s">
        <v>26</v>
      </c>
      <c r="C136" s="33">
        <v>200</v>
      </c>
      <c r="D136" s="33">
        <v>1</v>
      </c>
      <c r="E136" s="34">
        <v>45848</v>
      </c>
    </row>
    <row r="137" spans="1:5" s="25" customFormat="1">
      <c r="A137" s="33" t="s">
        <v>312</v>
      </c>
      <c r="B137" s="33" t="s">
        <v>28</v>
      </c>
      <c r="C137" s="33">
        <v>100</v>
      </c>
      <c r="D137" s="33">
        <v>1</v>
      </c>
      <c r="E137" s="34">
        <v>45848</v>
      </c>
    </row>
    <row r="138" spans="1:5" s="25" customFormat="1">
      <c r="A138" s="33" t="s">
        <v>311</v>
      </c>
      <c r="B138" s="33" t="s">
        <v>27</v>
      </c>
      <c r="C138" s="33">
        <v>100</v>
      </c>
      <c r="D138" s="33">
        <v>1</v>
      </c>
      <c r="E138" s="34">
        <v>45848</v>
      </c>
    </row>
    <row r="139" spans="1:5" s="25" customFormat="1">
      <c r="A139" s="33" t="s">
        <v>538</v>
      </c>
      <c r="B139" s="33" t="s">
        <v>619</v>
      </c>
      <c r="C139" s="33">
        <v>18</v>
      </c>
      <c r="D139" s="33">
        <v>1</v>
      </c>
      <c r="E139" s="34">
        <v>45845</v>
      </c>
    </row>
    <row r="140" spans="1:5" s="25" customFormat="1">
      <c r="A140" s="33" t="s">
        <v>536</v>
      </c>
      <c r="B140" s="33" t="s">
        <v>537</v>
      </c>
      <c r="C140" s="33">
        <v>18</v>
      </c>
      <c r="D140" s="33">
        <v>1</v>
      </c>
      <c r="E140" s="34">
        <v>45845</v>
      </c>
    </row>
    <row r="141" spans="1:5" s="25" customFormat="1">
      <c r="A141" s="33" t="s">
        <v>534</v>
      </c>
      <c r="B141" s="33" t="s">
        <v>535</v>
      </c>
      <c r="C141" s="33">
        <v>5</v>
      </c>
      <c r="D141" s="33">
        <v>1</v>
      </c>
      <c r="E141" s="34">
        <v>45845</v>
      </c>
    </row>
    <row r="142" spans="1:5" s="25" customFormat="1">
      <c r="A142" s="33" t="s">
        <v>532</v>
      </c>
      <c r="B142" s="33" t="s">
        <v>533</v>
      </c>
      <c r="C142" s="33">
        <v>6</v>
      </c>
      <c r="D142" s="33">
        <v>1</v>
      </c>
      <c r="E142" s="34">
        <v>45845</v>
      </c>
    </row>
    <row r="143" spans="1:5" s="25" customFormat="1">
      <c r="A143" s="33" t="s">
        <v>530</v>
      </c>
      <c r="B143" s="33" t="s">
        <v>531</v>
      </c>
      <c r="C143" s="33">
        <v>4</v>
      </c>
      <c r="D143" s="33">
        <v>1</v>
      </c>
      <c r="E143" s="34">
        <v>45845</v>
      </c>
    </row>
    <row r="144" spans="1:5" s="25" customFormat="1">
      <c r="A144" s="33" t="s">
        <v>528</v>
      </c>
      <c r="B144" s="33" t="s">
        <v>529</v>
      </c>
      <c r="C144" s="33">
        <v>5</v>
      </c>
      <c r="D144" s="33">
        <v>1</v>
      </c>
      <c r="E144" s="34">
        <v>45845</v>
      </c>
    </row>
    <row r="145" spans="1:5" s="25" customFormat="1">
      <c r="A145" s="33" t="s">
        <v>526</v>
      </c>
      <c r="B145" s="33" t="s">
        <v>527</v>
      </c>
      <c r="C145" s="33">
        <v>6</v>
      </c>
      <c r="D145" s="33">
        <v>1</v>
      </c>
      <c r="E145" s="34">
        <v>45845</v>
      </c>
    </row>
    <row r="146" spans="1:5" s="25" customFormat="1">
      <c r="A146" s="33" t="s">
        <v>524</v>
      </c>
      <c r="B146" s="33" t="s">
        <v>525</v>
      </c>
      <c r="C146" s="33">
        <v>48</v>
      </c>
      <c r="D146" s="33">
        <v>1</v>
      </c>
      <c r="E146" s="34">
        <v>45845</v>
      </c>
    </row>
    <row r="147" spans="1:5" s="25" customFormat="1">
      <c r="A147" s="33" t="s">
        <v>523</v>
      </c>
      <c r="B147" s="33" t="s">
        <v>522</v>
      </c>
      <c r="C147" s="33">
        <v>6</v>
      </c>
      <c r="D147" s="33">
        <v>1</v>
      </c>
      <c r="E147" s="34">
        <v>45845</v>
      </c>
    </row>
    <row r="148" spans="1:5" s="25" customFormat="1">
      <c r="A148" s="33" t="s">
        <v>520</v>
      </c>
      <c r="B148" s="33" t="s">
        <v>521</v>
      </c>
      <c r="C148" s="33">
        <v>8</v>
      </c>
      <c r="D148" s="33">
        <v>1</v>
      </c>
      <c r="E148" s="34">
        <v>45845</v>
      </c>
    </row>
    <row r="149" spans="1:5" s="25" customFormat="1">
      <c r="A149" s="33" t="s">
        <v>518</v>
      </c>
      <c r="B149" s="33" t="s">
        <v>519</v>
      </c>
      <c r="C149" s="33">
        <v>6</v>
      </c>
      <c r="D149" s="33">
        <v>1</v>
      </c>
      <c r="E149" s="34">
        <v>45845</v>
      </c>
    </row>
    <row r="150" spans="1:5" s="25" customFormat="1">
      <c r="A150" s="33" t="s">
        <v>517</v>
      </c>
      <c r="B150" s="33" t="s">
        <v>511</v>
      </c>
      <c r="C150" s="33">
        <v>20</v>
      </c>
      <c r="D150" s="33">
        <v>1</v>
      </c>
      <c r="E150" s="34">
        <v>45827</v>
      </c>
    </row>
    <row r="151" spans="1:5" s="25" customFormat="1">
      <c r="A151" s="33" t="s">
        <v>253</v>
      </c>
      <c r="B151" s="33" t="s">
        <v>254</v>
      </c>
      <c r="C151" s="33">
        <v>20</v>
      </c>
      <c r="D151" s="33">
        <v>1</v>
      </c>
      <c r="E151" s="34">
        <v>45827</v>
      </c>
    </row>
    <row r="152" spans="1:5" s="25" customFormat="1">
      <c r="A152" s="33" t="s">
        <v>516</v>
      </c>
      <c r="B152" s="33" t="s">
        <v>510</v>
      </c>
      <c r="C152" s="33">
        <v>15</v>
      </c>
      <c r="D152" s="33">
        <v>1</v>
      </c>
      <c r="E152" s="34">
        <v>45827</v>
      </c>
    </row>
    <row r="153" spans="1:5" s="25" customFormat="1">
      <c r="A153" s="33" t="s">
        <v>515</v>
      </c>
      <c r="B153" s="33" t="s">
        <v>509</v>
      </c>
      <c r="C153" s="33">
        <v>15</v>
      </c>
      <c r="D153" s="33">
        <v>1</v>
      </c>
      <c r="E153" s="34">
        <v>45827</v>
      </c>
    </row>
    <row r="154" spans="1:5" s="25" customFormat="1">
      <c r="A154" s="33" t="s">
        <v>514</v>
      </c>
      <c r="B154" s="33" t="s">
        <v>508</v>
      </c>
      <c r="C154" s="33">
        <v>15</v>
      </c>
      <c r="D154" s="33">
        <v>1</v>
      </c>
      <c r="E154" s="34">
        <v>45827</v>
      </c>
    </row>
    <row r="155" spans="1:5" s="25" customFormat="1">
      <c r="A155" s="33" t="s">
        <v>513</v>
      </c>
      <c r="B155" s="33" t="s">
        <v>507</v>
      </c>
      <c r="C155" s="33">
        <v>20</v>
      </c>
      <c r="D155" s="33">
        <v>1</v>
      </c>
      <c r="E155" s="34">
        <v>45827</v>
      </c>
    </row>
    <row r="156" spans="1:5" s="25" customFormat="1">
      <c r="A156" s="33" t="s">
        <v>512</v>
      </c>
      <c r="B156" s="33" t="s">
        <v>506</v>
      </c>
      <c r="C156" s="33">
        <v>20</v>
      </c>
      <c r="D156" s="33">
        <v>1</v>
      </c>
      <c r="E156" s="34">
        <v>45827</v>
      </c>
    </row>
    <row r="157" spans="1:5" s="25" customFormat="1">
      <c r="A157" s="33" t="s">
        <v>36</v>
      </c>
      <c r="B157" s="33" t="s">
        <v>42</v>
      </c>
      <c r="C157" s="33">
        <v>5</v>
      </c>
      <c r="D157" s="33">
        <v>1</v>
      </c>
      <c r="E157" s="34">
        <v>45827</v>
      </c>
    </row>
    <row r="158" spans="1:5" s="25" customFormat="1">
      <c r="A158" s="33" t="s">
        <v>32</v>
      </c>
      <c r="B158" s="33" t="s">
        <v>33</v>
      </c>
      <c r="C158" s="33">
        <v>20</v>
      </c>
      <c r="D158" s="33">
        <v>1</v>
      </c>
      <c r="E158" s="34">
        <v>45827</v>
      </c>
    </row>
    <row r="159" spans="1:5" s="25" customFormat="1">
      <c r="A159" s="33" t="s">
        <v>65</v>
      </c>
      <c r="B159" s="33" t="s">
        <v>66</v>
      </c>
      <c r="C159" s="33">
        <v>20</v>
      </c>
      <c r="D159" s="33">
        <v>1</v>
      </c>
      <c r="E159" s="34">
        <v>45827</v>
      </c>
    </row>
    <row r="160" spans="1:5" s="25" customFormat="1">
      <c r="A160" s="33" t="s">
        <v>63</v>
      </c>
      <c r="B160" s="33" t="s">
        <v>64</v>
      </c>
      <c r="C160" s="33">
        <v>20</v>
      </c>
      <c r="D160" s="33">
        <v>1</v>
      </c>
      <c r="E160" s="34">
        <v>45827</v>
      </c>
    </row>
    <row r="161" spans="1:5" s="25" customFormat="1">
      <c r="A161" s="33" t="s">
        <v>504</v>
      </c>
      <c r="B161" s="33" t="s">
        <v>505</v>
      </c>
      <c r="C161" s="33">
        <v>12000</v>
      </c>
      <c r="D161" s="33">
        <v>1</v>
      </c>
      <c r="E161" s="34">
        <v>45827</v>
      </c>
    </row>
    <row r="162" spans="1:5" s="25" customFormat="1">
      <c r="A162" s="33" t="s">
        <v>502</v>
      </c>
      <c r="B162" s="33" t="s">
        <v>503</v>
      </c>
      <c r="C162" s="33">
        <v>6</v>
      </c>
      <c r="D162" s="33">
        <v>1</v>
      </c>
      <c r="E162" s="34">
        <v>45827</v>
      </c>
    </row>
    <row r="163" spans="1:5" s="25" customFormat="1">
      <c r="A163" s="33" t="s">
        <v>500</v>
      </c>
      <c r="B163" s="33" t="s">
        <v>501</v>
      </c>
      <c r="C163" s="33">
        <v>6</v>
      </c>
      <c r="D163" s="33">
        <v>1</v>
      </c>
      <c r="E163" s="34">
        <v>45827</v>
      </c>
    </row>
    <row r="164" spans="1:5" s="25" customFormat="1">
      <c r="A164" s="33" t="s">
        <v>498</v>
      </c>
      <c r="B164" s="33" t="s">
        <v>499</v>
      </c>
      <c r="C164" s="33">
        <v>3</v>
      </c>
      <c r="D164" s="33">
        <v>1</v>
      </c>
      <c r="E164" s="34">
        <v>45827</v>
      </c>
    </row>
    <row r="165" spans="1:5" s="25" customFormat="1">
      <c r="A165" s="33" t="s">
        <v>496</v>
      </c>
      <c r="B165" s="33" t="s">
        <v>497</v>
      </c>
      <c r="C165" s="33">
        <v>3</v>
      </c>
      <c r="D165" s="33">
        <v>1</v>
      </c>
      <c r="E165" s="34">
        <v>45827</v>
      </c>
    </row>
    <row r="166" spans="1:5" s="25" customFormat="1">
      <c r="A166" s="33" t="s">
        <v>71</v>
      </c>
      <c r="B166" s="33" t="s">
        <v>72</v>
      </c>
      <c r="C166" s="33">
        <v>5</v>
      </c>
      <c r="D166" s="33">
        <v>1</v>
      </c>
      <c r="E166" s="34">
        <v>45827</v>
      </c>
    </row>
    <row r="167" spans="1:5" s="25" customFormat="1">
      <c r="A167" s="33" t="s">
        <v>492</v>
      </c>
      <c r="B167" s="33" t="s">
        <v>495</v>
      </c>
      <c r="C167" s="33">
        <v>10</v>
      </c>
      <c r="D167" s="33">
        <v>1</v>
      </c>
      <c r="E167" s="34">
        <v>45827</v>
      </c>
    </row>
    <row r="168" spans="1:5" s="25" customFormat="1">
      <c r="A168" s="33" t="s">
        <v>491</v>
      </c>
      <c r="B168" s="33" t="s">
        <v>494</v>
      </c>
      <c r="C168" s="33">
        <v>10</v>
      </c>
      <c r="D168" s="33">
        <v>1</v>
      </c>
      <c r="E168" s="34">
        <v>45827</v>
      </c>
    </row>
    <row r="169" spans="1:5" s="25" customFormat="1">
      <c r="A169" s="33" t="s">
        <v>489</v>
      </c>
      <c r="B169" s="33" t="s">
        <v>490</v>
      </c>
      <c r="C169" s="33">
        <v>10</v>
      </c>
      <c r="D169" s="33">
        <v>1</v>
      </c>
      <c r="E169" s="34">
        <v>45827</v>
      </c>
    </row>
    <row r="170" spans="1:5" s="25" customFormat="1">
      <c r="A170" s="33" t="s">
        <v>487</v>
      </c>
      <c r="B170" s="33" t="s">
        <v>488</v>
      </c>
      <c r="C170" s="33">
        <v>10</v>
      </c>
      <c r="D170" s="33">
        <v>1</v>
      </c>
      <c r="E170" s="34">
        <v>45827</v>
      </c>
    </row>
    <row r="171" spans="1:5" s="25" customFormat="1">
      <c r="A171" s="33" t="s">
        <v>485</v>
      </c>
      <c r="B171" s="33" t="s">
        <v>486</v>
      </c>
      <c r="C171" s="33">
        <v>15</v>
      </c>
      <c r="D171" s="33">
        <v>1</v>
      </c>
      <c r="E171" s="34">
        <v>45827</v>
      </c>
    </row>
    <row r="172" spans="1:5" s="25" customFormat="1">
      <c r="A172" s="33" t="s">
        <v>483</v>
      </c>
      <c r="B172" s="33" t="s">
        <v>484</v>
      </c>
      <c r="C172" s="33">
        <v>20</v>
      </c>
      <c r="D172" s="33">
        <v>1</v>
      </c>
      <c r="E172" s="34">
        <v>45827</v>
      </c>
    </row>
    <row r="173" spans="1:5" s="25" customFormat="1">
      <c r="A173" s="33" t="s">
        <v>481</v>
      </c>
      <c r="B173" s="33" t="s">
        <v>482</v>
      </c>
      <c r="C173" s="33">
        <v>20</v>
      </c>
      <c r="D173" s="33">
        <v>1</v>
      </c>
      <c r="E173" s="34">
        <v>45827</v>
      </c>
    </row>
    <row r="174" spans="1:5" s="25" customFormat="1">
      <c r="A174" s="33" t="s">
        <v>479</v>
      </c>
      <c r="B174" s="33" t="s">
        <v>480</v>
      </c>
      <c r="C174" s="33">
        <v>45</v>
      </c>
      <c r="D174" s="33">
        <v>1</v>
      </c>
      <c r="E174" s="34">
        <v>45827</v>
      </c>
    </row>
    <row r="175" spans="1:5" s="25" customFormat="1">
      <c r="A175" s="33" t="s">
        <v>58</v>
      </c>
      <c r="B175" s="33" t="s">
        <v>92</v>
      </c>
      <c r="C175" s="33">
        <v>5</v>
      </c>
      <c r="D175" s="33">
        <v>1</v>
      </c>
      <c r="E175" s="34">
        <v>45827</v>
      </c>
    </row>
    <row r="176" spans="1:5" s="25" customFormat="1">
      <c r="A176" s="33" t="s">
        <v>477</v>
      </c>
      <c r="B176" s="33" t="s">
        <v>478</v>
      </c>
      <c r="C176" s="33">
        <v>3</v>
      </c>
      <c r="D176" s="33">
        <v>1</v>
      </c>
      <c r="E176" s="34">
        <v>45827</v>
      </c>
    </row>
    <row r="177" spans="1:5" s="25" customFormat="1">
      <c r="A177" s="33" t="s">
        <v>91</v>
      </c>
      <c r="B177" s="33" t="s">
        <v>51</v>
      </c>
      <c r="C177" s="33">
        <v>7</v>
      </c>
      <c r="D177" s="33">
        <v>1</v>
      </c>
      <c r="E177" s="34">
        <v>45827</v>
      </c>
    </row>
    <row r="178" spans="1:5" s="25" customFormat="1">
      <c r="A178" s="33" t="s">
        <v>84</v>
      </c>
      <c r="B178" s="33" t="s">
        <v>44</v>
      </c>
      <c r="C178" s="33">
        <v>2</v>
      </c>
      <c r="D178" s="33">
        <v>1</v>
      </c>
      <c r="E178" s="34">
        <v>45827</v>
      </c>
    </row>
    <row r="179" spans="1:5" s="25" customFormat="1">
      <c r="A179" s="33" t="s">
        <v>86</v>
      </c>
      <c r="B179" s="33" t="s">
        <v>46</v>
      </c>
      <c r="C179" s="33">
        <v>5</v>
      </c>
      <c r="D179" s="33">
        <v>1</v>
      </c>
      <c r="E179" s="34">
        <v>45827</v>
      </c>
    </row>
    <row r="180" spans="1:5" s="25" customFormat="1">
      <c r="A180" s="33" t="s">
        <v>87</v>
      </c>
      <c r="B180" s="33" t="s">
        <v>47</v>
      </c>
      <c r="C180" s="33">
        <v>3</v>
      </c>
      <c r="D180" s="33">
        <v>1</v>
      </c>
      <c r="E180" s="34">
        <v>45827</v>
      </c>
    </row>
    <row r="181" spans="1:5" s="25" customFormat="1">
      <c r="A181" s="33" t="s">
        <v>475</v>
      </c>
      <c r="B181" s="33" t="s">
        <v>476</v>
      </c>
      <c r="C181" s="33">
        <v>5</v>
      </c>
      <c r="D181" s="33">
        <v>1</v>
      </c>
      <c r="E181" s="34">
        <v>45827</v>
      </c>
    </row>
    <row r="182" spans="1:5" s="25" customFormat="1">
      <c r="A182" s="33" t="s">
        <v>473</v>
      </c>
      <c r="B182" s="33" t="s">
        <v>474</v>
      </c>
      <c r="C182" s="33">
        <v>5</v>
      </c>
      <c r="D182" s="33">
        <v>1</v>
      </c>
      <c r="E182" s="34">
        <v>45827</v>
      </c>
    </row>
    <row r="183" spans="1:5" s="25" customFormat="1">
      <c r="A183" s="33" t="s">
        <v>471</v>
      </c>
      <c r="B183" s="33" t="s">
        <v>472</v>
      </c>
      <c r="C183" s="33">
        <v>10</v>
      </c>
      <c r="D183" s="33">
        <v>1</v>
      </c>
      <c r="E183" s="34">
        <v>45827</v>
      </c>
    </row>
    <row r="184" spans="1:5" s="25" customFormat="1">
      <c r="A184" s="33" t="s">
        <v>76</v>
      </c>
      <c r="B184" s="33" t="s">
        <v>78</v>
      </c>
      <c r="C184" s="33">
        <v>5</v>
      </c>
      <c r="D184" s="33">
        <v>1</v>
      </c>
      <c r="E184" s="34">
        <v>45827</v>
      </c>
    </row>
    <row r="185" spans="1:5" s="25" customFormat="1">
      <c r="A185" s="33" t="s">
        <v>469</v>
      </c>
      <c r="B185" s="33" t="s">
        <v>470</v>
      </c>
      <c r="C185" s="33">
        <v>5</v>
      </c>
      <c r="D185" s="33">
        <v>1</v>
      </c>
      <c r="E185" s="34">
        <v>45827</v>
      </c>
    </row>
    <row r="186" spans="1:5" s="25" customFormat="1">
      <c r="A186" s="33" t="s">
        <v>467</v>
      </c>
      <c r="B186" s="33" t="s">
        <v>468</v>
      </c>
      <c r="C186" s="33">
        <v>5</v>
      </c>
      <c r="D186" s="33">
        <v>1</v>
      </c>
      <c r="E186" s="34">
        <v>45826</v>
      </c>
    </row>
    <row r="187" spans="1:5" s="25" customFormat="1">
      <c r="A187" s="33" t="s">
        <v>37</v>
      </c>
      <c r="B187" s="33" t="s">
        <v>40</v>
      </c>
      <c r="C187" s="33">
        <v>10</v>
      </c>
      <c r="D187" s="33">
        <v>1</v>
      </c>
      <c r="E187" s="34">
        <v>45826</v>
      </c>
    </row>
    <row r="188" spans="1:5" s="25" customFormat="1">
      <c r="A188" s="33" t="s">
        <v>465</v>
      </c>
      <c r="B188" s="33" t="s">
        <v>466</v>
      </c>
      <c r="C188" s="33">
        <v>10</v>
      </c>
      <c r="D188" s="33">
        <v>1</v>
      </c>
      <c r="E188" s="34">
        <v>45826</v>
      </c>
    </row>
    <row r="189" spans="1:5" s="25" customFormat="1">
      <c r="A189" s="33" t="s">
        <v>463</v>
      </c>
      <c r="B189" s="33" t="s">
        <v>464</v>
      </c>
      <c r="C189" s="33">
        <v>350</v>
      </c>
      <c r="D189" s="33">
        <v>1</v>
      </c>
      <c r="E189" s="34">
        <v>45826</v>
      </c>
    </row>
    <row r="190" spans="1:5" s="25" customFormat="1">
      <c r="A190" s="33" t="s">
        <v>461</v>
      </c>
      <c r="B190" s="33" t="s">
        <v>462</v>
      </c>
      <c r="C190" s="33">
        <v>150</v>
      </c>
      <c r="D190" s="33">
        <v>1</v>
      </c>
      <c r="E190" s="34">
        <v>45826</v>
      </c>
    </row>
    <row r="191" spans="1:5" s="25" customFormat="1">
      <c r="A191" s="33" t="s">
        <v>456</v>
      </c>
      <c r="B191" s="33" t="s">
        <v>455</v>
      </c>
      <c r="C191" s="33">
        <v>15</v>
      </c>
      <c r="D191" s="33">
        <v>1</v>
      </c>
      <c r="E191" s="34">
        <v>45742</v>
      </c>
    </row>
    <row r="192" spans="1:5" s="25" customFormat="1">
      <c r="A192" s="33" t="s">
        <v>454</v>
      </c>
      <c r="B192" s="33" t="s">
        <v>428</v>
      </c>
      <c r="C192" s="33">
        <v>20</v>
      </c>
      <c r="D192" s="33">
        <v>1</v>
      </c>
      <c r="E192" s="34">
        <v>45807</v>
      </c>
    </row>
    <row r="193" spans="1:5" s="25" customFormat="1">
      <c r="A193" s="33" t="s">
        <v>427</v>
      </c>
      <c r="B193" s="33" t="s">
        <v>431</v>
      </c>
      <c r="C193" s="33">
        <v>10</v>
      </c>
      <c r="D193" s="33"/>
      <c r="E193" s="34"/>
    </row>
    <row r="194" spans="1:5" s="25" customFormat="1">
      <c r="A194" s="33" t="s">
        <v>452</v>
      </c>
      <c r="B194" s="33" t="s">
        <v>453</v>
      </c>
      <c r="C194" s="33">
        <v>100</v>
      </c>
      <c r="D194" s="33">
        <v>1</v>
      </c>
      <c r="E194" s="34">
        <v>45807</v>
      </c>
    </row>
    <row r="195" spans="1:5" s="25" customFormat="1">
      <c r="A195" s="33" t="s">
        <v>450</v>
      </c>
      <c r="B195" s="33" t="s">
        <v>451</v>
      </c>
      <c r="C195" s="33">
        <v>100</v>
      </c>
      <c r="D195" s="33">
        <v>1</v>
      </c>
      <c r="E195" s="34">
        <v>45807</v>
      </c>
    </row>
    <row r="196" spans="1:5" s="25" customFormat="1">
      <c r="A196" s="33" t="s">
        <v>448</v>
      </c>
      <c r="B196" s="33" t="s">
        <v>449</v>
      </c>
      <c r="C196" s="33">
        <v>100</v>
      </c>
      <c r="D196" s="33">
        <v>1</v>
      </c>
      <c r="E196" s="34">
        <v>45807</v>
      </c>
    </row>
    <row r="197" spans="1:5" s="25" customFormat="1">
      <c r="A197" s="33" t="s">
        <v>447</v>
      </c>
      <c r="B197" s="33" t="s">
        <v>444</v>
      </c>
      <c r="C197" s="33">
        <v>200</v>
      </c>
      <c r="D197" s="33">
        <v>1</v>
      </c>
      <c r="E197" s="34">
        <v>45807</v>
      </c>
    </row>
    <row r="198" spans="1:5" s="25" customFormat="1">
      <c r="A198" s="33" t="s">
        <v>446</v>
      </c>
      <c r="B198" s="33" t="s">
        <v>443</v>
      </c>
      <c r="C198" s="33">
        <v>200</v>
      </c>
      <c r="D198" s="33">
        <v>1</v>
      </c>
      <c r="E198" s="34">
        <v>45807</v>
      </c>
    </row>
    <row r="199" spans="1:5" s="25" customFormat="1">
      <c r="A199" s="33" t="s">
        <v>445</v>
      </c>
      <c r="B199" s="33" t="s">
        <v>442</v>
      </c>
      <c r="C199" s="33">
        <v>200</v>
      </c>
      <c r="D199" s="33">
        <v>1</v>
      </c>
      <c r="E199" s="34">
        <v>45807</v>
      </c>
    </row>
    <row r="200" spans="1:5" s="25" customFormat="1">
      <c r="A200" s="33" t="s">
        <v>391</v>
      </c>
      <c r="B200" s="33" t="s">
        <v>441</v>
      </c>
      <c r="C200" s="33">
        <v>200</v>
      </c>
      <c r="D200" s="33">
        <v>1</v>
      </c>
      <c r="E200" s="34">
        <v>45807</v>
      </c>
    </row>
    <row r="201" spans="1:5" s="25" customFormat="1">
      <c r="A201" s="33" t="s">
        <v>390</v>
      </c>
      <c r="B201" s="33" t="s">
        <v>440</v>
      </c>
      <c r="C201" s="33">
        <v>200</v>
      </c>
      <c r="D201" s="33">
        <v>1</v>
      </c>
      <c r="E201" s="34">
        <v>45807</v>
      </c>
    </row>
    <row r="202" spans="1:5" s="25" customFormat="1">
      <c r="A202" s="33" t="s">
        <v>389</v>
      </c>
      <c r="B202" s="33" t="s">
        <v>439</v>
      </c>
      <c r="C202" s="33">
        <v>200</v>
      </c>
      <c r="D202" s="33">
        <v>1</v>
      </c>
      <c r="E202" s="34">
        <v>45807</v>
      </c>
    </row>
    <row r="203" spans="1:5" s="25" customFormat="1">
      <c r="A203" s="33" t="s">
        <v>437</v>
      </c>
      <c r="B203" s="33" t="s">
        <v>438</v>
      </c>
      <c r="C203" s="33">
        <v>200</v>
      </c>
      <c r="D203" s="33">
        <v>1</v>
      </c>
      <c r="E203" s="34">
        <v>45807</v>
      </c>
    </row>
    <row r="204" spans="1:5" s="25" customFormat="1">
      <c r="A204" s="33" t="s">
        <v>435</v>
      </c>
      <c r="B204" s="33" t="s">
        <v>436</v>
      </c>
      <c r="C204" s="33">
        <v>200</v>
      </c>
      <c r="D204" s="33">
        <v>1</v>
      </c>
      <c r="E204" s="34">
        <v>45807</v>
      </c>
    </row>
    <row r="205" spans="1:5" s="25" customFormat="1">
      <c r="A205" s="33" t="s">
        <v>433</v>
      </c>
      <c r="B205" s="33" t="s">
        <v>434</v>
      </c>
      <c r="C205" s="33">
        <v>200</v>
      </c>
      <c r="D205" s="33">
        <v>1</v>
      </c>
      <c r="E205" s="34">
        <v>45807</v>
      </c>
    </row>
    <row r="206" spans="1:5" s="25" customFormat="1">
      <c r="A206" s="33" t="s">
        <v>400</v>
      </c>
      <c r="B206" s="33" t="s">
        <v>403</v>
      </c>
      <c r="C206" s="33">
        <v>50</v>
      </c>
      <c r="D206" s="33">
        <v>1</v>
      </c>
      <c r="E206" s="34">
        <v>45807</v>
      </c>
    </row>
    <row r="207" spans="1:5" s="25" customFormat="1">
      <c r="A207" s="33" t="s">
        <v>399</v>
      </c>
      <c r="B207" s="33" t="s">
        <v>402</v>
      </c>
      <c r="C207" s="33">
        <v>100</v>
      </c>
      <c r="D207" s="33">
        <v>1</v>
      </c>
      <c r="E207" s="34">
        <v>45807</v>
      </c>
    </row>
    <row r="208" spans="1:5" s="25" customFormat="1">
      <c r="A208" s="33" t="s">
        <v>398</v>
      </c>
      <c r="B208" s="33" t="s">
        <v>401</v>
      </c>
      <c r="C208" s="33">
        <v>100</v>
      </c>
      <c r="D208" s="33">
        <v>1</v>
      </c>
      <c r="E208" s="34">
        <v>45807</v>
      </c>
    </row>
    <row r="209" spans="1:5" s="25" customFormat="1">
      <c r="A209" s="33" t="s">
        <v>397</v>
      </c>
      <c r="B209" s="33" t="s">
        <v>388</v>
      </c>
      <c r="C209" s="33">
        <v>200</v>
      </c>
      <c r="D209" s="33">
        <v>1</v>
      </c>
      <c r="E209" s="34">
        <v>45807</v>
      </c>
    </row>
    <row r="210" spans="1:5" s="25" customFormat="1">
      <c r="A210" s="33" t="s">
        <v>396</v>
      </c>
      <c r="B210" s="33" t="s">
        <v>387</v>
      </c>
      <c r="C210" s="33">
        <v>200</v>
      </c>
      <c r="D210" s="33">
        <v>1</v>
      </c>
      <c r="E210" s="34">
        <v>45807</v>
      </c>
    </row>
    <row r="211" spans="1:5" s="25" customFormat="1">
      <c r="A211" s="33" t="s">
        <v>395</v>
      </c>
      <c r="B211" s="33" t="s">
        <v>386</v>
      </c>
      <c r="C211" s="33">
        <v>200</v>
      </c>
      <c r="D211" s="33">
        <v>1</v>
      </c>
      <c r="E211" s="34">
        <v>45807</v>
      </c>
    </row>
    <row r="212" spans="1:5" s="25" customFormat="1">
      <c r="A212" s="33" t="s">
        <v>429</v>
      </c>
      <c r="B212" s="33" t="s">
        <v>430</v>
      </c>
      <c r="C212" s="33">
        <v>20</v>
      </c>
      <c r="D212" s="33">
        <v>1</v>
      </c>
      <c r="E212" s="34">
        <v>45807</v>
      </c>
    </row>
    <row r="213" spans="1:5" s="25" customFormat="1">
      <c r="A213" s="33" t="s">
        <v>422</v>
      </c>
      <c r="B213" s="33" t="s">
        <v>432</v>
      </c>
      <c r="C213" s="33">
        <v>10</v>
      </c>
      <c r="D213" s="33">
        <v>1</v>
      </c>
      <c r="E213" s="34">
        <v>45807</v>
      </c>
    </row>
    <row r="214" spans="1:5" s="25" customFormat="1">
      <c r="A214" s="33" t="s">
        <v>424</v>
      </c>
      <c r="B214" s="33" t="s">
        <v>426</v>
      </c>
      <c r="C214" s="33">
        <v>10</v>
      </c>
      <c r="D214" s="33">
        <v>1</v>
      </c>
      <c r="E214" s="34">
        <v>45807</v>
      </c>
    </row>
    <row r="215" spans="1:5" s="25" customFormat="1">
      <c r="A215" s="33" t="s">
        <v>423</v>
      </c>
      <c r="B215" s="33" t="s">
        <v>425</v>
      </c>
      <c r="C215" s="33">
        <v>10</v>
      </c>
      <c r="D215" s="33">
        <v>1</v>
      </c>
      <c r="E215" s="34">
        <v>45807</v>
      </c>
    </row>
    <row r="216" spans="1:5" s="25" customFormat="1">
      <c r="A216" s="33" t="s">
        <v>419</v>
      </c>
      <c r="B216" s="33" t="s">
        <v>421</v>
      </c>
      <c r="C216" s="33">
        <v>10</v>
      </c>
      <c r="D216" s="33">
        <v>1</v>
      </c>
      <c r="E216" s="34">
        <v>45807</v>
      </c>
    </row>
    <row r="217" spans="1:5" s="25" customFormat="1">
      <c r="A217" s="33" t="s">
        <v>418</v>
      </c>
      <c r="B217" s="33" t="s">
        <v>420</v>
      </c>
      <c r="C217" s="33">
        <v>15</v>
      </c>
      <c r="D217" s="33">
        <v>1</v>
      </c>
      <c r="E217" s="34">
        <v>45807</v>
      </c>
    </row>
    <row r="218" spans="1:5" s="25" customFormat="1">
      <c r="A218" s="33" t="s">
        <v>416</v>
      </c>
      <c r="B218" s="33" t="s">
        <v>417</v>
      </c>
      <c r="C218" s="33">
        <v>15</v>
      </c>
      <c r="D218" s="33">
        <v>1</v>
      </c>
      <c r="E218" s="34">
        <v>45807</v>
      </c>
    </row>
    <row r="219" spans="1:5" s="25" customFormat="1">
      <c r="A219" s="33" t="s">
        <v>414</v>
      </c>
      <c r="B219" s="33" t="s">
        <v>415</v>
      </c>
      <c r="C219" s="33">
        <v>30</v>
      </c>
      <c r="D219" s="33">
        <v>1</v>
      </c>
      <c r="E219" s="34">
        <v>45807</v>
      </c>
    </row>
    <row r="220" spans="1:5" s="25" customFormat="1">
      <c r="A220" s="33" t="s">
        <v>412</v>
      </c>
      <c r="B220" s="33" t="s">
        <v>413</v>
      </c>
      <c r="C220" s="33">
        <v>15</v>
      </c>
      <c r="D220" s="33">
        <v>1</v>
      </c>
      <c r="E220" s="34">
        <v>45807</v>
      </c>
    </row>
    <row r="221" spans="1:5" s="25" customFormat="1">
      <c r="A221" s="33" t="s">
        <v>410</v>
      </c>
      <c r="B221" s="33" t="s">
        <v>411</v>
      </c>
      <c r="C221" s="33">
        <v>30</v>
      </c>
      <c r="D221" s="33">
        <v>1</v>
      </c>
      <c r="E221" s="34">
        <v>45807</v>
      </c>
    </row>
    <row r="222" spans="1:5" s="25" customFormat="1">
      <c r="A222" s="33" t="s">
        <v>384</v>
      </c>
      <c r="B222" s="33" t="s">
        <v>385</v>
      </c>
      <c r="C222" s="33">
        <v>30</v>
      </c>
      <c r="D222" s="33">
        <v>1</v>
      </c>
      <c r="E222" s="34">
        <v>45807</v>
      </c>
    </row>
    <row r="223" spans="1:5" s="25" customFormat="1">
      <c r="A223" s="33" t="s">
        <v>382</v>
      </c>
      <c r="B223" s="33" t="s">
        <v>383</v>
      </c>
      <c r="C223" s="33">
        <v>30</v>
      </c>
      <c r="D223" s="33">
        <v>1</v>
      </c>
      <c r="E223" s="34">
        <v>45807</v>
      </c>
    </row>
    <row r="224" spans="1:5" s="25" customFormat="1">
      <c r="A224" s="33" t="s">
        <v>380</v>
      </c>
      <c r="B224" s="33" t="s">
        <v>381</v>
      </c>
      <c r="C224" s="33">
        <v>10</v>
      </c>
      <c r="D224" s="33">
        <v>1</v>
      </c>
      <c r="E224" s="34">
        <v>45807</v>
      </c>
    </row>
    <row r="225" spans="1:5" s="25" customFormat="1">
      <c r="A225" s="33" t="s">
        <v>378</v>
      </c>
      <c r="B225" s="33" t="s">
        <v>379</v>
      </c>
      <c r="C225" s="33">
        <v>30</v>
      </c>
      <c r="D225" s="33">
        <v>1</v>
      </c>
      <c r="E225" s="34">
        <v>45807</v>
      </c>
    </row>
    <row r="226" spans="1:5" s="25" customFormat="1">
      <c r="A226" s="33" t="s">
        <v>376</v>
      </c>
      <c r="B226" s="33" t="s">
        <v>377</v>
      </c>
      <c r="C226" s="33">
        <v>30</v>
      </c>
      <c r="D226" s="33">
        <v>1</v>
      </c>
      <c r="E226" s="34">
        <v>45807</v>
      </c>
    </row>
    <row r="227" spans="1:5" s="25" customFormat="1">
      <c r="A227" s="33" t="s">
        <v>374</v>
      </c>
      <c r="B227" s="33" t="s">
        <v>375</v>
      </c>
      <c r="C227" s="33">
        <v>10</v>
      </c>
      <c r="D227" s="33">
        <v>1</v>
      </c>
      <c r="E227" s="34">
        <v>45807</v>
      </c>
    </row>
    <row r="228" spans="1:5" s="25" customFormat="1">
      <c r="A228" s="33" t="s">
        <v>373</v>
      </c>
      <c r="B228" s="33" t="s">
        <v>368</v>
      </c>
      <c r="C228" s="33">
        <v>4</v>
      </c>
      <c r="D228" s="33">
        <v>1</v>
      </c>
      <c r="E228" s="34">
        <v>45806</v>
      </c>
    </row>
    <row r="229" spans="1:5" s="25" customFormat="1">
      <c r="A229" s="33" t="s">
        <v>358</v>
      </c>
      <c r="B229" s="33" t="s">
        <v>359</v>
      </c>
      <c r="C229" s="33">
        <v>5</v>
      </c>
      <c r="D229" s="33">
        <v>1</v>
      </c>
      <c r="E229" s="34">
        <v>45741</v>
      </c>
    </row>
    <row r="230" spans="1:5" s="25" customFormat="1">
      <c r="A230" s="33" t="s">
        <v>356</v>
      </c>
      <c r="B230" s="33" t="s">
        <v>357</v>
      </c>
      <c r="C230" s="33">
        <v>5</v>
      </c>
      <c r="D230" s="33">
        <v>1</v>
      </c>
      <c r="E230" s="34">
        <v>45741</v>
      </c>
    </row>
    <row r="231" spans="1:5" s="25" customFormat="1">
      <c r="A231" s="33" t="s">
        <v>354</v>
      </c>
      <c r="B231" s="33" t="s">
        <v>355</v>
      </c>
      <c r="C231" s="33">
        <v>3</v>
      </c>
      <c r="D231" s="33">
        <v>1</v>
      </c>
      <c r="E231" s="34">
        <v>45741</v>
      </c>
    </row>
    <row r="232" spans="1:5" s="25" customFormat="1">
      <c r="A232" s="33" t="s">
        <v>352</v>
      </c>
      <c r="B232" s="33" t="s">
        <v>353</v>
      </c>
      <c r="C232" s="33">
        <v>2</v>
      </c>
      <c r="D232" s="33">
        <v>1</v>
      </c>
      <c r="E232" s="34">
        <v>45741</v>
      </c>
    </row>
    <row r="233" spans="1:5" s="25" customFormat="1">
      <c r="A233" s="33" t="s">
        <v>366</v>
      </c>
      <c r="B233" s="33" t="s">
        <v>367</v>
      </c>
      <c r="C233" s="33">
        <v>3</v>
      </c>
      <c r="D233" s="33">
        <v>1</v>
      </c>
      <c r="E233" s="34">
        <v>45741</v>
      </c>
    </row>
    <row r="234" spans="1:5" s="25" customFormat="1">
      <c r="A234" s="33" t="s">
        <v>364</v>
      </c>
      <c r="B234" s="33" t="s">
        <v>365</v>
      </c>
      <c r="C234" s="33">
        <v>3</v>
      </c>
      <c r="D234" s="33">
        <v>1</v>
      </c>
      <c r="E234" s="34">
        <v>45741</v>
      </c>
    </row>
    <row r="235" spans="1:5" s="25" customFormat="1">
      <c r="A235" s="33" t="s">
        <v>362</v>
      </c>
      <c r="B235" s="33" t="s">
        <v>363</v>
      </c>
      <c r="C235" s="33">
        <v>3</v>
      </c>
      <c r="D235" s="33">
        <v>1</v>
      </c>
      <c r="E235" s="34">
        <v>45741</v>
      </c>
    </row>
    <row r="236" spans="1:5" s="25" customFormat="1">
      <c r="A236" s="33" t="s">
        <v>360</v>
      </c>
      <c r="B236" s="33" t="s">
        <v>361</v>
      </c>
      <c r="C236" s="33">
        <v>5</v>
      </c>
      <c r="D236" s="33">
        <v>1</v>
      </c>
      <c r="E236" s="34">
        <v>45741</v>
      </c>
    </row>
    <row r="237" spans="1:5" s="25" customFormat="1">
      <c r="A237" s="33" t="s">
        <v>350</v>
      </c>
      <c r="B237" s="33" t="s">
        <v>351</v>
      </c>
      <c r="C237" s="33">
        <v>5</v>
      </c>
      <c r="D237" s="33">
        <v>1</v>
      </c>
      <c r="E237" s="34">
        <v>45784</v>
      </c>
    </row>
    <row r="238" spans="1:5" s="25" customFormat="1">
      <c r="A238" s="33" t="s">
        <v>348</v>
      </c>
      <c r="B238" s="33" t="s">
        <v>349</v>
      </c>
      <c r="C238" s="33">
        <v>7</v>
      </c>
      <c r="D238" s="33">
        <v>1</v>
      </c>
      <c r="E238" s="34">
        <v>45784</v>
      </c>
    </row>
    <row r="239" spans="1:5" s="25" customFormat="1">
      <c r="A239" s="33" t="s">
        <v>347</v>
      </c>
      <c r="B239" s="33" t="s">
        <v>346</v>
      </c>
      <c r="C239" s="33">
        <v>10</v>
      </c>
      <c r="D239" s="33">
        <v>1</v>
      </c>
      <c r="E239" s="34">
        <v>45784</v>
      </c>
    </row>
    <row r="240" spans="1:5" s="25" customFormat="1">
      <c r="A240" s="33" t="s">
        <v>344</v>
      </c>
      <c r="B240" s="33" t="s">
        <v>345</v>
      </c>
      <c r="C240" s="33">
        <v>12</v>
      </c>
      <c r="D240" s="33">
        <v>1</v>
      </c>
      <c r="E240" s="34">
        <v>45785</v>
      </c>
    </row>
    <row r="241" spans="1:5" s="25" customFormat="1">
      <c r="A241" s="33" t="s">
        <v>339</v>
      </c>
      <c r="B241" s="33" t="s">
        <v>340</v>
      </c>
      <c r="C241" s="33">
        <v>300</v>
      </c>
      <c r="D241" s="33">
        <v>1</v>
      </c>
      <c r="E241" s="34">
        <v>45783</v>
      </c>
    </row>
    <row r="242" spans="1:5" s="25" customFormat="1">
      <c r="A242" s="33" t="s">
        <v>337</v>
      </c>
      <c r="B242" s="33" t="s">
        <v>338</v>
      </c>
      <c r="C242" s="33">
        <v>2</v>
      </c>
      <c r="D242" s="33">
        <v>1</v>
      </c>
      <c r="E242" s="34">
        <v>45777</v>
      </c>
    </row>
    <row r="243" spans="1:5" s="25" customFormat="1">
      <c r="A243" s="33" t="s">
        <v>335</v>
      </c>
      <c r="B243" s="33" t="s">
        <v>336</v>
      </c>
      <c r="C243" s="33">
        <v>4</v>
      </c>
      <c r="D243" s="33">
        <v>1</v>
      </c>
      <c r="E243" s="34">
        <v>45777</v>
      </c>
    </row>
    <row r="244" spans="1:5" s="25" customFormat="1">
      <c r="A244" s="33" t="s">
        <v>333</v>
      </c>
      <c r="B244" s="33" t="s">
        <v>334</v>
      </c>
      <c r="C244" s="33">
        <v>6</v>
      </c>
      <c r="D244" s="33">
        <v>1</v>
      </c>
      <c r="E244" s="34">
        <v>45777</v>
      </c>
    </row>
    <row r="245" spans="1:5" s="25" customFormat="1">
      <c r="A245" s="33" t="s">
        <v>331</v>
      </c>
      <c r="B245" s="33" t="s">
        <v>332</v>
      </c>
      <c r="C245" s="33">
        <v>10</v>
      </c>
      <c r="D245" s="33">
        <v>1</v>
      </c>
      <c r="E245" s="34">
        <v>45777</v>
      </c>
    </row>
    <row r="246" spans="1:5" s="25" customFormat="1">
      <c r="A246" s="33" t="s">
        <v>15</v>
      </c>
      <c r="B246" s="33" t="s">
        <v>16</v>
      </c>
      <c r="C246" s="33">
        <v>40</v>
      </c>
      <c r="D246" s="33">
        <v>1</v>
      </c>
      <c r="E246" s="34">
        <v>45743</v>
      </c>
    </row>
    <row r="247" spans="1:5" s="25" customFormat="1">
      <c r="A247" s="33" t="s">
        <v>323</v>
      </c>
      <c r="B247" s="33" t="s">
        <v>324</v>
      </c>
      <c r="C247" s="33">
        <v>15</v>
      </c>
      <c r="D247" s="33">
        <v>1</v>
      </c>
      <c r="E247" s="34">
        <v>45743</v>
      </c>
    </row>
    <row r="248" spans="1:5" s="25" customFormat="1">
      <c r="A248" s="33" t="s">
        <v>321</v>
      </c>
      <c r="B248" s="33" t="s">
        <v>322</v>
      </c>
      <c r="C248" s="33">
        <v>30</v>
      </c>
      <c r="D248" s="33">
        <v>1</v>
      </c>
      <c r="E248" s="34">
        <v>45743</v>
      </c>
    </row>
    <row r="249" spans="1:5" s="25" customFormat="1">
      <c r="A249" s="33" t="s">
        <v>319</v>
      </c>
      <c r="B249" s="33" t="s">
        <v>320</v>
      </c>
      <c r="C249" s="33">
        <v>15</v>
      </c>
      <c r="D249" s="33">
        <v>1</v>
      </c>
      <c r="E249" s="34">
        <v>45743</v>
      </c>
    </row>
    <row r="250" spans="1:5" s="25" customFormat="1">
      <c r="A250" s="33" t="s">
        <v>317</v>
      </c>
      <c r="B250" s="33" t="s">
        <v>318</v>
      </c>
      <c r="C250" s="33">
        <v>10</v>
      </c>
      <c r="D250" s="33">
        <v>1</v>
      </c>
      <c r="E250" s="34">
        <v>45743</v>
      </c>
    </row>
    <row r="251" spans="1:5" s="25" customFormat="1">
      <c r="A251" s="33" t="s">
        <v>316</v>
      </c>
      <c r="B251" s="33" t="s">
        <v>315</v>
      </c>
      <c r="C251" s="33">
        <v>50</v>
      </c>
      <c r="D251" s="33">
        <v>1</v>
      </c>
      <c r="E251" s="34">
        <v>45743</v>
      </c>
    </row>
    <row r="252" spans="1:5" s="25" customFormat="1">
      <c r="A252" s="33" t="s">
        <v>313</v>
      </c>
      <c r="B252" s="33" t="s">
        <v>314</v>
      </c>
      <c r="C252" s="33">
        <v>1000</v>
      </c>
      <c r="D252" s="33">
        <v>1</v>
      </c>
      <c r="E252" s="34">
        <v>45743</v>
      </c>
    </row>
    <row r="253" spans="1:5" s="25" customFormat="1">
      <c r="A253" s="33" t="s">
        <v>308</v>
      </c>
      <c r="B253" s="33" t="s">
        <v>309</v>
      </c>
      <c r="C253" s="33">
        <v>1</v>
      </c>
      <c r="D253" s="33">
        <v>1</v>
      </c>
      <c r="E253" s="34">
        <v>45741</v>
      </c>
    </row>
    <row r="254" spans="1:5" s="25" customFormat="1">
      <c r="A254" s="33" t="s">
        <v>307</v>
      </c>
      <c r="B254" s="33" t="s">
        <v>306</v>
      </c>
      <c r="C254" s="33">
        <v>3</v>
      </c>
      <c r="D254" s="33">
        <v>1</v>
      </c>
      <c r="E254" s="34">
        <v>45741</v>
      </c>
    </row>
    <row r="255" spans="1:5" s="25" customFormat="1">
      <c r="A255" s="33" t="s">
        <v>297</v>
      </c>
      <c r="B255" s="33" t="s">
        <v>305</v>
      </c>
      <c r="C255" s="33">
        <v>5</v>
      </c>
      <c r="D255" s="33">
        <v>1</v>
      </c>
      <c r="E255" s="34">
        <v>45741</v>
      </c>
    </row>
    <row r="256" spans="1:5" s="25" customFormat="1">
      <c r="A256" s="33" t="s">
        <v>296</v>
      </c>
      <c r="B256" s="33" t="s">
        <v>304</v>
      </c>
      <c r="C256" s="33">
        <v>5</v>
      </c>
      <c r="D256" s="33">
        <v>1</v>
      </c>
      <c r="E256" s="34">
        <v>45741</v>
      </c>
    </row>
    <row r="257" spans="1:5" s="25" customFormat="1">
      <c r="A257" s="33" t="s">
        <v>295</v>
      </c>
      <c r="B257" s="33" t="s">
        <v>303</v>
      </c>
      <c r="C257" s="33">
        <v>3</v>
      </c>
      <c r="D257" s="33">
        <v>1</v>
      </c>
      <c r="E257" s="34">
        <v>45741</v>
      </c>
    </row>
    <row r="258" spans="1:5" s="25" customFormat="1">
      <c r="A258" s="33" t="s">
        <v>294</v>
      </c>
      <c r="B258" s="33" t="s">
        <v>302</v>
      </c>
      <c r="C258" s="33">
        <v>2</v>
      </c>
      <c r="D258" s="33">
        <v>1</v>
      </c>
      <c r="E258" s="34">
        <v>45741</v>
      </c>
    </row>
    <row r="259" spans="1:5" s="25" customFormat="1">
      <c r="A259" s="33" t="s">
        <v>293</v>
      </c>
      <c r="B259" s="33" t="s">
        <v>301</v>
      </c>
      <c r="C259" s="33">
        <v>3</v>
      </c>
      <c r="D259" s="33">
        <v>1</v>
      </c>
      <c r="E259" s="34">
        <v>45742</v>
      </c>
    </row>
    <row r="260" spans="1:5" s="25" customFormat="1">
      <c r="A260" s="33" t="s">
        <v>292</v>
      </c>
      <c r="B260" s="33" t="s">
        <v>300</v>
      </c>
      <c r="C260" s="33">
        <v>3</v>
      </c>
      <c r="D260" s="33">
        <v>1</v>
      </c>
      <c r="E260" s="34">
        <v>45741</v>
      </c>
    </row>
    <row r="261" spans="1:5" s="25" customFormat="1">
      <c r="A261" s="33" t="s">
        <v>291</v>
      </c>
      <c r="B261" s="33" t="s">
        <v>299</v>
      </c>
      <c r="C261" s="33">
        <v>3</v>
      </c>
      <c r="D261" s="33">
        <v>1</v>
      </c>
      <c r="E261" s="34">
        <v>45741</v>
      </c>
    </row>
    <row r="262" spans="1:5" s="25" customFormat="1">
      <c r="A262" s="33" t="s">
        <v>290</v>
      </c>
      <c r="B262" s="33" t="s">
        <v>298</v>
      </c>
      <c r="C262" s="33">
        <v>5</v>
      </c>
      <c r="D262" s="33">
        <v>1</v>
      </c>
      <c r="E262" s="34">
        <v>45741</v>
      </c>
    </row>
    <row r="263" spans="1:5" s="25" customFormat="1">
      <c r="A263" s="33" t="s">
        <v>15</v>
      </c>
      <c r="B263" s="33" t="s">
        <v>16</v>
      </c>
      <c r="C263" s="33">
        <v>40</v>
      </c>
      <c r="D263" s="33">
        <v>1</v>
      </c>
      <c r="E263" s="34">
        <v>45741</v>
      </c>
    </row>
    <row r="264" spans="1:5" s="25" customFormat="1">
      <c r="A264" s="33" t="s">
        <v>288</v>
      </c>
      <c r="B264" s="33" t="s">
        <v>289</v>
      </c>
      <c r="C264" s="33">
        <v>16</v>
      </c>
      <c r="D264" s="33">
        <v>1</v>
      </c>
      <c r="E264" s="34">
        <v>45741</v>
      </c>
    </row>
    <row r="265" spans="1:5" s="25" customFormat="1">
      <c r="A265" s="33" t="s">
        <v>286</v>
      </c>
      <c r="B265" s="33" t="s">
        <v>287</v>
      </c>
      <c r="C265" s="33">
        <v>14</v>
      </c>
      <c r="D265" s="33">
        <v>1</v>
      </c>
      <c r="E265" s="34">
        <v>45741</v>
      </c>
    </row>
    <row r="266" spans="1:5" s="25" customFormat="1">
      <c r="A266" s="33" t="s">
        <v>284</v>
      </c>
      <c r="B266" s="33" t="s">
        <v>285</v>
      </c>
      <c r="C266" s="33">
        <v>50</v>
      </c>
      <c r="D266" s="33">
        <v>1</v>
      </c>
      <c r="E266" s="34">
        <v>45741</v>
      </c>
    </row>
    <row r="267" spans="1:5" s="25" customFormat="1">
      <c r="A267" s="33" t="s">
        <v>282</v>
      </c>
      <c r="B267" s="33" t="s">
        <v>283</v>
      </c>
      <c r="C267" s="33">
        <v>44</v>
      </c>
      <c r="D267" s="33">
        <v>1</v>
      </c>
      <c r="E267" s="34">
        <v>45741</v>
      </c>
    </row>
    <row r="268" spans="1:5" s="25" customFormat="1">
      <c r="A268" s="33" t="s">
        <v>280</v>
      </c>
      <c r="B268" s="33" t="s">
        <v>281</v>
      </c>
      <c r="C268" s="33">
        <v>50</v>
      </c>
      <c r="D268" s="33">
        <v>1</v>
      </c>
      <c r="E268" s="34">
        <v>45741</v>
      </c>
    </row>
    <row r="269" spans="1:5" s="25" customFormat="1">
      <c r="A269" s="33" t="s">
        <v>278</v>
      </c>
      <c r="B269" s="33" t="s">
        <v>279</v>
      </c>
      <c r="C269" s="33">
        <v>42</v>
      </c>
      <c r="D269" s="33">
        <v>1</v>
      </c>
      <c r="E269" s="34">
        <v>45741</v>
      </c>
    </row>
    <row r="270" spans="1:5" s="25" customFormat="1">
      <c r="A270" s="33" t="s">
        <v>276</v>
      </c>
      <c r="B270" s="33" t="s">
        <v>277</v>
      </c>
      <c r="C270" s="33">
        <v>50</v>
      </c>
      <c r="D270" s="33">
        <v>1</v>
      </c>
      <c r="E270" s="34">
        <v>45741</v>
      </c>
    </row>
    <row r="271" spans="1:5" s="25" customFormat="1">
      <c r="A271" s="33" t="s">
        <v>274</v>
      </c>
      <c r="B271" s="33" t="s">
        <v>275</v>
      </c>
      <c r="C271" s="33">
        <v>50</v>
      </c>
      <c r="D271" s="33">
        <v>1</v>
      </c>
      <c r="E271" s="34">
        <v>45741</v>
      </c>
    </row>
    <row r="272" spans="1:5" s="25" customFormat="1">
      <c r="A272" s="33" t="s">
        <v>272</v>
      </c>
      <c r="B272" s="33" t="s">
        <v>273</v>
      </c>
      <c r="C272" s="33">
        <v>30</v>
      </c>
      <c r="D272" s="33">
        <v>1</v>
      </c>
      <c r="E272" s="34">
        <v>45741</v>
      </c>
    </row>
    <row r="273" spans="1:7" s="25" customFormat="1">
      <c r="A273" s="33" t="s">
        <v>270</v>
      </c>
      <c r="B273" s="33" t="s">
        <v>271</v>
      </c>
      <c r="C273" s="33">
        <v>50</v>
      </c>
      <c r="D273" s="33">
        <v>1</v>
      </c>
      <c r="E273" s="34">
        <v>45741</v>
      </c>
    </row>
    <row r="274" spans="1:7" s="25" customFormat="1">
      <c r="A274" s="33" t="s">
        <v>268</v>
      </c>
      <c r="B274" s="33" t="s">
        <v>269</v>
      </c>
      <c r="C274" s="33">
        <v>394</v>
      </c>
      <c r="D274" s="33">
        <v>1</v>
      </c>
      <c r="E274" s="34">
        <v>45737</v>
      </c>
    </row>
    <row r="275" spans="1:7" s="25" customFormat="1">
      <c r="A275" s="33" t="s">
        <v>266</v>
      </c>
      <c r="B275" s="33" t="s">
        <v>326</v>
      </c>
      <c r="C275" s="33">
        <v>3</v>
      </c>
      <c r="D275" s="33">
        <v>1</v>
      </c>
      <c r="E275" s="34">
        <v>45737</v>
      </c>
      <c r="G275" s="25" t="s">
        <v>329</v>
      </c>
    </row>
    <row r="276" spans="1:7" s="25" customFormat="1">
      <c r="A276" s="33" t="s">
        <v>265</v>
      </c>
      <c r="B276" s="33" t="s">
        <v>328</v>
      </c>
      <c r="C276" s="33">
        <v>4</v>
      </c>
      <c r="D276" s="33">
        <v>1</v>
      </c>
      <c r="E276" s="34">
        <v>45737</v>
      </c>
    </row>
    <row r="277" spans="1:7" s="25" customFormat="1">
      <c r="A277" s="33" t="s">
        <v>263</v>
      </c>
      <c r="B277" s="33" t="s">
        <v>264</v>
      </c>
      <c r="C277" s="33">
        <v>18</v>
      </c>
      <c r="D277" s="33">
        <v>1</v>
      </c>
      <c r="E277" s="34">
        <v>45737</v>
      </c>
    </row>
    <row r="278" spans="1:7" s="25" customFormat="1">
      <c r="A278" s="33" t="s">
        <v>261</v>
      </c>
      <c r="B278" s="33" t="s">
        <v>262</v>
      </c>
      <c r="C278" s="33">
        <v>24</v>
      </c>
      <c r="D278" s="33">
        <v>1</v>
      </c>
      <c r="E278" s="34">
        <v>45737</v>
      </c>
    </row>
    <row r="279" spans="1:7" s="25" customFormat="1">
      <c r="A279" s="33" t="s">
        <v>258</v>
      </c>
      <c r="B279" s="33" t="s">
        <v>260</v>
      </c>
      <c r="C279" s="33">
        <v>24</v>
      </c>
      <c r="D279" s="33">
        <v>1</v>
      </c>
      <c r="E279" s="34">
        <v>45737</v>
      </c>
    </row>
    <row r="280" spans="1:7" s="25" customFormat="1">
      <c r="A280" s="33" t="s">
        <v>257</v>
      </c>
      <c r="B280" s="33" t="s">
        <v>259</v>
      </c>
      <c r="C280" s="33">
        <v>12</v>
      </c>
      <c r="D280" s="33">
        <v>1</v>
      </c>
      <c r="E280" s="34">
        <v>45737</v>
      </c>
    </row>
    <row r="281" spans="1:7" s="25" customFormat="1">
      <c r="A281" s="33" t="s">
        <v>256</v>
      </c>
      <c r="B281" s="33" t="s">
        <v>255</v>
      </c>
      <c r="C281" s="33">
        <v>12</v>
      </c>
      <c r="D281" s="33">
        <v>1</v>
      </c>
      <c r="E281" s="34">
        <v>45737</v>
      </c>
    </row>
    <row r="282" spans="1:7" s="25" customFormat="1">
      <c r="A282" s="33" t="s">
        <v>253</v>
      </c>
      <c r="B282" s="33" t="s">
        <v>254</v>
      </c>
      <c r="C282" s="33">
        <v>5</v>
      </c>
      <c r="D282" s="33">
        <v>1</v>
      </c>
      <c r="E282" s="34">
        <v>45737</v>
      </c>
    </row>
    <row r="283" spans="1:7" s="25" customFormat="1">
      <c r="A283" s="33" t="s">
        <v>251</v>
      </c>
      <c r="B283" s="33" t="s">
        <v>252</v>
      </c>
      <c r="C283" s="33">
        <v>5</v>
      </c>
      <c r="D283" s="33">
        <v>1</v>
      </c>
      <c r="E283" s="34">
        <v>45737</v>
      </c>
    </row>
    <row r="284" spans="1:7" s="25" customFormat="1">
      <c r="A284" s="33" t="s">
        <v>243</v>
      </c>
      <c r="B284" s="33" t="s">
        <v>250</v>
      </c>
      <c r="C284" s="33">
        <v>9</v>
      </c>
      <c r="D284" s="33">
        <v>1</v>
      </c>
      <c r="E284" s="34">
        <v>45737</v>
      </c>
    </row>
    <row r="285" spans="1:7" s="25" customFormat="1">
      <c r="A285" s="33" t="s">
        <v>242</v>
      </c>
      <c r="B285" s="33" t="s">
        <v>249</v>
      </c>
      <c r="C285" s="33">
        <v>1</v>
      </c>
      <c r="D285" s="33">
        <v>1</v>
      </c>
      <c r="E285" s="34">
        <v>45737</v>
      </c>
    </row>
    <row r="286" spans="1:7" s="25" customFormat="1">
      <c r="A286" s="33" t="s">
        <v>245</v>
      </c>
      <c r="B286" s="33" t="s">
        <v>247</v>
      </c>
      <c r="C286" s="33">
        <v>9</v>
      </c>
      <c r="D286" s="33">
        <v>1</v>
      </c>
      <c r="E286" s="34">
        <v>45737</v>
      </c>
    </row>
    <row r="287" spans="1:7" s="25" customFormat="1">
      <c r="A287" s="33" t="s">
        <v>244</v>
      </c>
      <c r="B287" s="33" t="s">
        <v>246</v>
      </c>
      <c r="C287" s="33">
        <v>8</v>
      </c>
      <c r="D287" s="33">
        <v>1</v>
      </c>
      <c r="E287" s="34">
        <v>45737</v>
      </c>
    </row>
    <row r="288" spans="1:7" s="25" customFormat="1">
      <c r="A288" s="33" t="s">
        <v>241</v>
      </c>
      <c r="B288" s="33" t="s">
        <v>248</v>
      </c>
      <c r="C288" s="33">
        <v>10</v>
      </c>
      <c r="D288" s="33">
        <v>1</v>
      </c>
      <c r="E288" s="34">
        <v>45737</v>
      </c>
    </row>
    <row r="289" spans="1:5" s="25" customFormat="1">
      <c r="A289" s="33" t="s">
        <v>239</v>
      </c>
      <c r="B289" s="33" t="s">
        <v>240</v>
      </c>
      <c r="C289" s="33">
        <v>7</v>
      </c>
      <c r="D289" s="33">
        <v>1</v>
      </c>
      <c r="E289" s="34">
        <v>45737</v>
      </c>
    </row>
    <row r="290" spans="1:5" s="25" customFormat="1">
      <c r="A290" s="33" t="s">
        <v>237</v>
      </c>
      <c r="B290" s="33" t="s">
        <v>238</v>
      </c>
      <c r="C290" s="33">
        <v>50</v>
      </c>
      <c r="D290" s="33">
        <v>1</v>
      </c>
      <c r="E290" s="34">
        <v>45737</v>
      </c>
    </row>
    <row r="291" spans="1:5" s="25" customFormat="1">
      <c r="A291" s="33" t="s">
        <v>235</v>
      </c>
      <c r="B291" s="33" t="s">
        <v>236</v>
      </c>
      <c r="C291" s="33">
        <v>4</v>
      </c>
      <c r="D291" s="33">
        <v>1</v>
      </c>
      <c r="E291" s="34">
        <v>45736</v>
      </c>
    </row>
    <row r="292" spans="1:5" s="25" customFormat="1">
      <c r="A292" s="33" t="s">
        <v>233</v>
      </c>
      <c r="B292" s="33" t="s">
        <v>234</v>
      </c>
      <c r="C292" s="33">
        <v>94</v>
      </c>
      <c r="D292" s="33">
        <v>1</v>
      </c>
      <c r="E292" s="34">
        <v>45736</v>
      </c>
    </row>
    <row r="293" spans="1:5" s="25" customFormat="1">
      <c r="A293" s="33" t="s">
        <v>232</v>
      </c>
      <c r="B293" s="33" t="s">
        <v>231</v>
      </c>
      <c r="C293" s="33">
        <v>40</v>
      </c>
      <c r="D293" s="33">
        <v>1</v>
      </c>
      <c r="E293" s="34">
        <v>45736</v>
      </c>
    </row>
    <row r="294" spans="1:5" s="25" customFormat="1">
      <c r="A294" s="33" t="s">
        <v>227</v>
      </c>
      <c r="B294" s="33" t="s">
        <v>230</v>
      </c>
      <c r="C294" s="33">
        <v>20</v>
      </c>
      <c r="D294" s="33">
        <v>1</v>
      </c>
      <c r="E294" s="34">
        <v>45736</v>
      </c>
    </row>
    <row r="295" spans="1:5" s="25" customFormat="1">
      <c r="A295" s="33" t="s">
        <v>226</v>
      </c>
      <c r="B295" s="33" t="s">
        <v>229</v>
      </c>
      <c r="C295" s="33">
        <v>20</v>
      </c>
      <c r="D295" s="33">
        <v>1</v>
      </c>
      <c r="E295" s="34">
        <v>45736</v>
      </c>
    </row>
    <row r="296" spans="1:5" s="25" customFormat="1">
      <c r="A296" s="33" t="s">
        <v>225</v>
      </c>
      <c r="B296" s="33" t="s">
        <v>228</v>
      </c>
      <c r="C296" s="33">
        <v>20</v>
      </c>
      <c r="D296" s="33">
        <v>1</v>
      </c>
      <c r="E296" s="34">
        <v>45736</v>
      </c>
    </row>
    <row r="297" spans="1:5" s="25" customFormat="1">
      <c r="A297" s="33" t="s">
        <v>220</v>
      </c>
      <c r="B297" s="33" t="s">
        <v>224</v>
      </c>
      <c r="C297" s="33">
        <v>20</v>
      </c>
      <c r="D297" s="33">
        <v>1</v>
      </c>
      <c r="E297" s="34">
        <v>45736</v>
      </c>
    </row>
    <row r="298" spans="1:5" s="25" customFormat="1">
      <c r="A298" s="33" t="s">
        <v>219</v>
      </c>
      <c r="B298" s="33" t="s">
        <v>223</v>
      </c>
      <c r="C298" s="33">
        <v>20</v>
      </c>
      <c r="D298" s="33">
        <v>1</v>
      </c>
      <c r="E298" s="34">
        <v>45736</v>
      </c>
    </row>
    <row r="299" spans="1:5" s="25" customFormat="1">
      <c r="A299" s="33" t="s">
        <v>218</v>
      </c>
      <c r="B299" s="33" t="s">
        <v>222</v>
      </c>
      <c r="C299" s="33">
        <v>20</v>
      </c>
      <c r="D299" s="33">
        <v>1</v>
      </c>
      <c r="E299" s="34">
        <v>45736</v>
      </c>
    </row>
    <row r="300" spans="1:5" s="25" customFormat="1">
      <c r="A300" s="33" t="s">
        <v>217</v>
      </c>
      <c r="B300" s="33" t="s">
        <v>221</v>
      </c>
      <c r="C300" s="33">
        <v>20</v>
      </c>
      <c r="D300" s="33">
        <v>1</v>
      </c>
      <c r="E300" s="34">
        <v>45736</v>
      </c>
    </row>
    <row r="301" spans="1:5" s="25" customFormat="1">
      <c r="A301" s="33" t="s">
        <v>216</v>
      </c>
      <c r="B301" s="33" t="s">
        <v>215</v>
      </c>
      <c r="C301" s="33">
        <v>20</v>
      </c>
      <c r="D301" s="33">
        <v>1</v>
      </c>
      <c r="E301" s="34">
        <v>45736</v>
      </c>
    </row>
    <row r="302" spans="1:5" s="25" customFormat="1">
      <c r="A302" s="33" t="s">
        <v>212</v>
      </c>
      <c r="B302" s="33" t="s">
        <v>214</v>
      </c>
      <c r="C302" s="33">
        <v>18</v>
      </c>
      <c r="D302" s="33">
        <v>1</v>
      </c>
      <c r="E302" s="34">
        <v>45736</v>
      </c>
    </row>
    <row r="303" spans="1:5" s="25" customFormat="1">
      <c r="A303" s="33" t="s">
        <v>209</v>
      </c>
      <c r="B303" s="33" t="s">
        <v>211</v>
      </c>
      <c r="C303" s="33">
        <v>20</v>
      </c>
      <c r="D303" s="33">
        <v>1</v>
      </c>
      <c r="E303" s="34">
        <v>45736</v>
      </c>
    </row>
    <row r="304" spans="1:5" s="25" customFormat="1">
      <c r="A304" s="33" t="s">
        <v>206</v>
      </c>
      <c r="B304" s="33" t="s">
        <v>207</v>
      </c>
      <c r="C304" s="33">
        <v>14</v>
      </c>
      <c r="D304" s="33">
        <v>1</v>
      </c>
      <c r="E304" s="34">
        <v>45735</v>
      </c>
    </row>
    <row r="305" spans="1:5" s="25" customFormat="1">
      <c r="A305" s="33" t="s">
        <v>204</v>
      </c>
      <c r="B305" s="33" t="s">
        <v>205</v>
      </c>
      <c r="C305" s="33">
        <v>20</v>
      </c>
      <c r="D305" s="33">
        <v>1</v>
      </c>
      <c r="E305" s="34">
        <v>45735</v>
      </c>
    </row>
    <row r="306" spans="1:5" s="25" customFormat="1">
      <c r="A306" s="33" t="s">
        <v>202</v>
      </c>
      <c r="B306" s="33" t="s">
        <v>203</v>
      </c>
      <c r="C306" s="33">
        <v>20</v>
      </c>
      <c r="D306" s="33">
        <v>1</v>
      </c>
      <c r="E306" s="34">
        <v>45735</v>
      </c>
    </row>
    <row r="307" spans="1:5" s="25" customFormat="1">
      <c r="A307" s="33" t="s">
        <v>200</v>
      </c>
      <c r="B307" s="33" t="s">
        <v>201</v>
      </c>
      <c r="C307" s="33">
        <v>12</v>
      </c>
      <c r="D307" s="33">
        <v>1</v>
      </c>
      <c r="E307" s="34">
        <v>45735</v>
      </c>
    </row>
    <row r="308" spans="1:5" s="25" customFormat="1">
      <c r="A308" s="33" t="s">
        <v>198</v>
      </c>
      <c r="B308" s="33" t="s">
        <v>199</v>
      </c>
      <c r="C308" s="33">
        <v>8</v>
      </c>
      <c r="D308" s="33">
        <v>1</v>
      </c>
      <c r="E308" s="34">
        <v>45735</v>
      </c>
    </row>
    <row r="309" spans="1:5" s="25" customFormat="1">
      <c r="A309" s="33" t="s">
        <v>196</v>
      </c>
      <c r="B309" s="33" t="s">
        <v>197</v>
      </c>
      <c r="C309" s="33">
        <v>120</v>
      </c>
      <c r="D309" s="33">
        <v>1</v>
      </c>
      <c r="E309" s="34">
        <v>45735</v>
      </c>
    </row>
    <row r="310" spans="1:5" s="25" customFormat="1">
      <c r="A310" s="33" t="s">
        <v>194</v>
      </c>
      <c r="B310" s="33" t="s">
        <v>195</v>
      </c>
      <c r="C310" s="33">
        <v>150</v>
      </c>
      <c r="D310" s="33">
        <v>1</v>
      </c>
      <c r="E310" s="34">
        <v>45735</v>
      </c>
    </row>
    <row r="311" spans="1:5" s="25" customFormat="1">
      <c r="A311" s="33" t="s">
        <v>192</v>
      </c>
      <c r="B311" s="33" t="s">
        <v>193</v>
      </c>
      <c r="C311" s="33">
        <v>2054</v>
      </c>
      <c r="D311" s="33">
        <v>1</v>
      </c>
      <c r="E311" s="34">
        <v>45735</v>
      </c>
    </row>
    <row r="312" spans="1:5" s="25" customFormat="1">
      <c r="A312" s="33" t="s">
        <v>189</v>
      </c>
      <c r="B312" s="33" t="s">
        <v>190</v>
      </c>
      <c r="C312" s="33">
        <v>20</v>
      </c>
      <c r="D312" s="33">
        <v>1</v>
      </c>
      <c r="E312" s="34">
        <v>45735</v>
      </c>
    </row>
    <row r="313" spans="1:5" s="25" customFormat="1">
      <c r="A313" s="33" t="s">
        <v>188</v>
      </c>
      <c r="B313" s="33" t="s">
        <v>187</v>
      </c>
      <c r="C313" s="33">
        <v>177</v>
      </c>
      <c r="D313" s="33">
        <v>1</v>
      </c>
      <c r="E313" s="34">
        <v>45735</v>
      </c>
    </row>
    <row r="314" spans="1:5" s="25" customFormat="1">
      <c r="A314" s="33" t="s">
        <v>185</v>
      </c>
      <c r="B314" s="33" t="s">
        <v>186</v>
      </c>
      <c r="C314" s="33">
        <v>10</v>
      </c>
      <c r="D314" s="33">
        <v>1</v>
      </c>
      <c r="E314" s="34">
        <v>45733</v>
      </c>
    </row>
    <row r="315" spans="1:5" s="25" customFormat="1">
      <c r="A315" s="33" t="s">
        <v>183</v>
      </c>
      <c r="B315" s="33" t="s">
        <v>184</v>
      </c>
      <c r="C315" s="33">
        <v>9</v>
      </c>
      <c r="D315" s="33">
        <v>1</v>
      </c>
      <c r="E315" s="34">
        <v>45733</v>
      </c>
    </row>
    <row r="316" spans="1:5" s="25" customFormat="1">
      <c r="A316" s="33" t="s">
        <v>181</v>
      </c>
      <c r="B316" s="33" t="s">
        <v>182</v>
      </c>
      <c r="C316" s="33">
        <v>10</v>
      </c>
      <c r="D316" s="33">
        <v>1</v>
      </c>
      <c r="E316" s="34">
        <v>45733</v>
      </c>
    </row>
    <row r="317" spans="1:5" s="25" customFormat="1">
      <c r="A317" s="33" t="s">
        <v>179</v>
      </c>
      <c r="B317" s="33" t="s">
        <v>180</v>
      </c>
      <c r="C317" s="33">
        <v>12</v>
      </c>
      <c r="D317" s="33">
        <v>1</v>
      </c>
      <c r="E317" s="34">
        <v>45733</v>
      </c>
    </row>
    <row r="318" spans="1:5" s="25" customFormat="1">
      <c r="A318" s="33" t="s">
        <v>177</v>
      </c>
      <c r="B318" s="33" t="s">
        <v>178</v>
      </c>
      <c r="C318" s="33">
        <v>4</v>
      </c>
      <c r="D318" s="33">
        <v>1</v>
      </c>
      <c r="E318" s="34">
        <v>45733</v>
      </c>
    </row>
    <row r="319" spans="1:5" s="25" customFormat="1">
      <c r="A319" s="33" t="s">
        <v>175</v>
      </c>
      <c r="B319" s="33" t="s">
        <v>176</v>
      </c>
      <c r="C319" s="33">
        <v>10</v>
      </c>
      <c r="D319" s="33">
        <v>1</v>
      </c>
      <c r="E319" s="34">
        <v>45733</v>
      </c>
    </row>
    <row r="320" spans="1:5" s="25" customFormat="1">
      <c r="A320" s="33" t="s">
        <v>174</v>
      </c>
      <c r="B320" s="33" t="s">
        <v>341</v>
      </c>
      <c r="C320" s="33">
        <v>5</v>
      </c>
      <c r="D320" s="33">
        <v>1</v>
      </c>
      <c r="E320" s="34">
        <v>45733</v>
      </c>
    </row>
    <row r="321" spans="1:5" s="25" customFormat="1">
      <c r="A321" s="33" t="s">
        <v>172</v>
      </c>
      <c r="B321" s="33" t="s">
        <v>173</v>
      </c>
      <c r="C321" s="33">
        <v>36</v>
      </c>
      <c r="D321" s="33">
        <v>1</v>
      </c>
      <c r="E321" s="34">
        <v>45733</v>
      </c>
    </row>
    <row r="322" spans="1:5" s="25" customFormat="1">
      <c r="A322" s="33" t="s">
        <v>168</v>
      </c>
      <c r="B322" s="33" t="s">
        <v>171</v>
      </c>
      <c r="C322" s="33">
        <v>50</v>
      </c>
      <c r="D322" s="33">
        <v>1</v>
      </c>
      <c r="E322" s="34">
        <v>45733</v>
      </c>
    </row>
    <row r="323" spans="1:5" s="25" customFormat="1">
      <c r="A323" s="33" t="s">
        <v>167</v>
      </c>
      <c r="B323" s="33" t="s">
        <v>170</v>
      </c>
      <c r="C323" s="33">
        <v>50</v>
      </c>
      <c r="D323" s="33">
        <v>1</v>
      </c>
      <c r="E323" s="34">
        <v>45733</v>
      </c>
    </row>
    <row r="324" spans="1:5" s="25" customFormat="1">
      <c r="A324" s="33" t="s">
        <v>166</v>
      </c>
      <c r="B324" s="33" t="s">
        <v>169</v>
      </c>
      <c r="C324" s="33">
        <v>50</v>
      </c>
      <c r="D324" s="33">
        <v>1</v>
      </c>
      <c r="E324" s="34">
        <v>45733</v>
      </c>
    </row>
    <row r="325" spans="1:5" s="25" customFormat="1">
      <c r="A325" s="33" t="s">
        <v>163</v>
      </c>
      <c r="B325" s="33" t="s">
        <v>165</v>
      </c>
      <c r="C325" s="33">
        <v>10</v>
      </c>
      <c r="D325" s="33">
        <v>1</v>
      </c>
      <c r="E325" s="34">
        <v>45733</v>
      </c>
    </row>
    <row r="326" spans="1:5" s="25" customFormat="1">
      <c r="A326" s="33" t="s">
        <v>162</v>
      </c>
      <c r="B326" s="33" t="s">
        <v>164</v>
      </c>
      <c r="C326" s="33">
        <v>10</v>
      </c>
      <c r="D326" s="33">
        <v>1</v>
      </c>
      <c r="E326" s="34">
        <v>45733</v>
      </c>
    </row>
    <row r="327" spans="1:5" s="25" customFormat="1">
      <c r="A327" s="33" t="s">
        <v>160</v>
      </c>
      <c r="B327" s="33" t="s">
        <v>161</v>
      </c>
      <c r="C327" s="33">
        <v>10</v>
      </c>
      <c r="D327" s="33">
        <v>1</v>
      </c>
      <c r="E327" s="34">
        <v>45733</v>
      </c>
    </row>
    <row r="328" spans="1:5" s="25" customFormat="1">
      <c r="A328" s="33" t="s">
        <v>159</v>
      </c>
      <c r="B328" s="33" t="s">
        <v>158</v>
      </c>
      <c r="C328" s="33">
        <v>12</v>
      </c>
      <c r="D328" s="33">
        <v>1</v>
      </c>
      <c r="E328" s="34">
        <v>45733</v>
      </c>
    </row>
    <row r="329" spans="1:5" s="25" customFormat="1">
      <c r="A329" s="33" t="s">
        <v>156</v>
      </c>
      <c r="B329" s="33" t="s">
        <v>157</v>
      </c>
      <c r="C329" s="33">
        <v>12</v>
      </c>
      <c r="D329" s="33">
        <v>1</v>
      </c>
      <c r="E329" s="34">
        <v>45733</v>
      </c>
    </row>
    <row r="330" spans="1:5" s="25" customFormat="1">
      <c r="A330" s="33" t="s">
        <v>153</v>
      </c>
      <c r="B330" s="33" t="s">
        <v>155</v>
      </c>
      <c r="C330" s="33">
        <v>78</v>
      </c>
      <c r="D330" s="33">
        <v>1</v>
      </c>
      <c r="E330" s="34">
        <v>45733</v>
      </c>
    </row>
    <row r="331" spans="1:5" s="25" customFormat="1">
      <c r="A331" s="33" t="s">
        <v>152</v>
      </c>
      <c r="B331" s="33" t="s">
        <v>154</v>
      </c>
      <c r="C331" s="33">
        <v>30</v>
      </c>
      <c r="D331" s="33">
        <v>1</v>
      </c>
      <c r="E331" s="34">
        <v>45733</v>
      </c>
    </row>
    <row r="332" spans="1:5" s="25" customFormat="1">
      <c r="A332" s="33" t="s">
        <v>150</v>
      </c>
      <c r="B332" s="33" t="s">
        <v>151</v>
      </c>
      <c r="C332" s="33">
        <v>40</v>
      </c>
      <c r="D332" s="33">
        <v>1</v>
      </c>
      <c r="E332" s="34">
        <v>45733</v>
      </c>
    </row>
    <row r="333" spans="1:5" s="25" customFormat="1">
      <c r="A333" s="33" t="s">
        <v>147</v>
      </c>
      <c r="B333" s="33" t="s">
        <v>148</v>
      </c>
      <c r="C333" s="33" t="s">
        <v>149</v>
      </c>
      <c r="D333" s="33">
        <v>1</v>
      </c>
      <c r="E333" s="34">
        <v>45733</v>
      </c>
    </row>
    <row r="334" spans="1:5" s="25" customFormat="1">
      <c r="A334" s="33" t="s">
        <v>144</v>
      </c>
      <c r="B334" s="33" t="s">
        <v>145</v>
      </c>
      <c r="C334" s="33" t="s">
        <v>146</v>
      </c>
      <c r="D334" s="33">
        <v>1</v>
      </c>
      <c r="E334" s="34">
        <v>45733</v>
      </c>
    </row>
    <row r="335" spans="1:5" s="25" customFormat="1">
      <c r="A335" s="33" t="s">
        <v>139</v>
      </c>
      <c r="B335" s="33" t="s">
        <v>142</v>
      </c>
      <c r="C335" s="33" t="s">
        <v>143</v>
      </c>
      <c r="D335" s="33">
        <v>1</v>
      </c>
      <c r="E335" s="34">
        <v>45733</v>
      </c>
    </row>
    <row r="336" spans="1:5" s="25" customFormat="1">
      <c r="A336" s="33" t="s">
        <v>138</v>
      </c>
      <c r="B336" s="33" t="s">
        <v>141</v>
      </c>
      <c r="C336" s="33" t="s">
        <v>143</v>
      </c>
      <c r="D336" s="33">
        <v>1</v>
      </c>
      <c r="E336" s="34">
        <v>45733</v>
      </c>
    </row>
    <row r="337" spans="1:5" s="25" customFormat="1">
      <c r="A337" s="33" t="s">
        <v>137</v>
      </c>
      <c r="B337" s="33" t="s">
        <v>140</v>
      </c>
      <c r="C337" s="33" t="s">
        <v>143</v>
      </c>
      <c r="D337" s="33">
        <v>1</v>
      </c>
      <c r="E337" s="34">
        <v>45733</v>
      </c>
    </row>
    <row r="338" spans="1:5" s="25" customFormat="1">
      <c r="A338" s="33" t="s">
        <v>136</v>
      </c>
      <c r="B338" s="33" t="s">
        <v>135</v>
      </c>
      <c r="C338" s="33" t="s">
        <v>143</v>
      </c>
      <c r="D338" s="33">
        <v>1</v>
      </c>
      <c r="E338" s="34">
        <v>45733</v>
      </c>
    </row>
    <row r="339" spans="1:5" s="25" customFormat="1">
      <c r="A339" s="33" t="s">
        <v>133</v>
      </c>
      <c r="B339" s="33" t="s">
        <v>134</v>
      </c>
      <c r="C339" s="33">
        <v>12</v>
      </c>
      <c r="D339" s="33">
        <v>1</v>
      </c>
      <c r="E339" s="34">
        <v>45733</v>
      </c>
    </row>
    <row r="340" spans="1:5" s="25" customFormat="1">
      <c r="A340" s="33" t="s">
        <v>131</v>
      </c>
      <c r="B340" s="33" t="s">
        <v>132</v>
      </c>
      <c r="C340" s="33">
        <v>12</v>
      </c>
      <c r="D340" s="33">
        <v>1</v>
      </c>
      <c r="E340" s="34">
        <v>45733</v>
      </c>
    </row>
    <row r="341" spans="1:5" s="25" customFormat="1">
      <c r="A341" s="33" t="s">
        <v>128</v>
      </c>
      <c r="B341" s="33" t="s">
        <v>130</v>
      </c>
      <c r="C341" s="33">
        <v>50</v>
      </c>
      <c r="D341" s="33">
        <v>1</v>
      </c>
      <c r="E341" s="34">
        <v>45733</v>
      </c>
    </row>
    <row r="342" spans="1:5" s="25" customFormat="1">
      <c r="A342" s="33" t="s">
        <v>127</v>
      </c>
      <c r="B342" s="33" t="s">
        <v>129</v>
      </c>
      <c r="C342" s="33">
        <v>51</v>
      </c>
      <c r="D342" s="33">
        <v>1</v>
      </c>
      <c r="E342" s="34">
        <v>45733</v>
      </c>
    </row>
    <row r="343" spans="1:5" s="25" customFormat="1">
      <c r="A343" s="33" t="s">
        <v>125</v>
      </c>
      <c r="B343" s="33" t="s">
        <v>126</v>
      </c>
      <c r="C343" s="33">
        <v>48</v>
      </c>
      <c r="D343" s="33">
        <v>1</v>
      </c>
      <c r="E343" s="34">
        <v>45733</v>
      </c>
    </row>
    <row r="344" spans="1:5" s="25" customFormat="1">
      <c r="A344" s="33" t="s">
        <v>121</v>
      </c>
      <c r="B344" s="33" t="s">
        <v>122</v>
      </c>
      <c r="C344" s="33">
        <v>60</v>
      </c>
      <c r="D344" s="33">
        <v>1</v>
      </c>
      <c r="E344" s="34">
        <v>45733</v>
      </c>
    </row>
    <row r="345" spans="1:5" s="25" customFormat="1">
      <c r="A345" s="33" t="s">
        <v>123</v>
      </c>
      <c r="B345" s="33" t="s">
        <v>124</v>
      </c>
      <c r="C345" s="33">
        <v>60</v>
      </c>
      <c r="D345" s="33">
        <v>1</v>
      </c>
      <c r="E345" s="34">
        <v>45733</v>
      </c>
    </row>
    <row r="346" spans="1:5" s="25" customFormat="1">
      <c r="A346" s="33" t="s">
        <v>119</v>
      </c>
      <c r="B346" s="33" t="s">
        <v>120</v>
      </c>
      <c r="C346" s="33">
        <v>14</v>
      </c>
      <c r="D346" s="33">
        <v>1</v>
      </c>
      <c r="E346" s="34">
        <v>45730</v>
      </c>
    </row>
    <row r="347" spans="1:5" s="25" customFormat="1">
      <c r="A347" s="33" t="s">
        <v>109</v>
      </c>
      <c r="B347" s="33" t="s">
        <v>110</v>
      </c>
      <c r="C347" s="33">
        <v>60</v>
      </c>
      <c r="D347" s="33">
        <v>1</v>
      </c>
      <c r="E347" s="34">
        <v>45729</v>
      </c>
    </row>
    <row r="348" spans="1:5" s="25" customFormat="1">
      <c r="A348" s="33" t="s">
        <v>116</v>
      </c>
      <c r="B348" s="33" t="s">
        <v>108</v>
      </c>
      <c r="C348" s="33">
        <v>47</v>
      </c>
      <c r="D348" s="33">
        <v>1</v>
      </c>
      <c r="E348" s="34">
        <v>45729</v>
      </c>
    </row>
    <row r="349" spans="1:5" s="25" customFormat="1">
      <c r="A349" s="33" t="s">
        <v>115</v>
      </c>
      <c r="B349" s="33" t="s">
        <v>107</v>
      </c>
      <c r="C349" s="33">
        <v>12</v>
      </c>
      <c r="D349" s="33">
        <v>1</v>
      </c>
      <c r="E349" s="34">
        <v>45729</v>
      </c>
    </row>
    <row r="350" spans="1:5" s="25" customFormat="1">
      <c r="A350" s="33" t="s">
        <v>104</v>
      </c>
      <c r="B350" s="33" t="s">
        <v>106</v>
      </c>
      <c r="C350" s="33">
        <v>12</v>
      </c>
      <c r="D350" s="33">
        <v>1</v>
      </c>
      <c r="E350" s="34">
        <v>45729</v>
      </c>
    </row>
    <row r="351" spans="1:5" s="25" customFormat="1">
      <c r="A351" s="33" t="s">
        <v>103</v>
      </c>
      <c r="B351" s="33" t="s">
        <v>105</v>
      </c>
      <c r="C351" s="33">
        <v>12</v>
      </c>
      <c r="D351" s="33">
        <v>1</v>
      </c>
      <c r="E351" s="34">
        <v>45729</v>
      </c>
    </row>
    <row r="352" spans="1:5" s="25" customFormat="1">
      <c r="A352" s="33" t="s">
        <v>100</v>
      </c>
      <c r="B352" s="33" t="s">
        <v>102</v>
      </c>
      <c r="C352" s="33">
        <v>9</v>
      </c>
      <c r="D352" s="33">
        <v>1</v>
      </c>
      <c r="E352" s="34">
        <v>45729</v>
      </c>
    </row>
    <row r="353" spans="1:5" s="25" customFormat="1">
      <c r="A353" s="33" t="s">
        <v>99</v>
      </c>
      <c r="B353" s="33" t="s">
        <v>101</v>
      </c>
      <c r="C353" s="33">
        <v>20</v>
      </c>
      <c r="D353" s="33">
        <v>1</v>
      </c>
      <c r="E353" s="34">
        <v>45729</v>
      </c>
    </row>
    <row r="354" spans="1:5" s="25" customFormat="1">
      <c r="A354" s="33" t="s">
        <v>112</v>
      </c>
      <c r="B354" s="33" t="s">
        <v>114</v>
      </c>
      <c r="C354" s="33">
        <v>14</v>
      </c>
      <c r="D354" s="33">
        <v>1</v>
      </c>
      <c r="E354" s="34">
        <v>45729</v>
      </c>
    </row>
    <row r="355" spans="1:5" s="25" customFormat="1">
      <c r="A355" s="33" t="s">
        <v>111</v>
      </c>
      <c r="B355" s="33" t="s">
        <v>113</v>
      </c>
      <c r="C355" s="33">
        <v>30</v>
      </c>
      <c r="D355" s="33">
        <v>1</v>
      </c>
      <c r="E355" s="34">
        <v>45729</v>
      </c>
    </row>
    <row r="356" spans="1:5" s="25" customFormat="1">
      <c r="A356" s="33" t="s">
        <v>97</v>
      </c>
      <c r="B356" s="33" t="s">
        <v>98</v>
      </c>
      <c r="C356" s="33">
        <v>15</v>
      </c>
      <c r="D356" s="33">
        <v>1</v>
      </c>
      <c r="E356" s="34">
        <v>45729</v>
      </c>
    </row>
    <row r="357" spans="1:5" s="25" customFormat="1">
      <c r="A357" s="33" t="s">
        <v>95</v>
      </c>
      <c r="B357" s="33" t="s">
        <v>96</v>
      </c>
      <c r="C357" s="33">
        <v>30</v>
      </c>
      <c r="D357" s="33">
        <v>1</v>
      </c>
      <c r="E357" s="34">
        <v>45729</v>
      </c>
    </row>
    <row r="358" spans="1:5" s="25" customFormat="1">
      <c r="A358" s="33" t="s">
        <v>371</v>
      </c>
      <c r="B358" s="33" t="s">
        <v>369</v>
      </c>
      <c r="C358" s="33">
        <v>20</v>
      </c>
      <c r="D358" s="33">
        <v>1</v>
      </c>
      <c r="E358" s="34">
        <v>45729</v>
      </c>
    </row>
    <row r="359" spans="1:5" s="25" customFormat="1">
      <c r="A359" s="33" t="s">
        <v>372</v>
      </c>
      <c r="B359" s="33" t="s">
        <v>370</v>
      </c>
      <c r="C359" s="33">
        <v>20</v>
      </c>
      <c r="D359" s="33">
        <v>1</v>
      </c>
      <c r="E359" s="34">
        <v>45729</v>
      </c>
    </row>
    <row r="360" spans="1:5" s="25" customFormat="1">
      <c r="A360" s="33" t="s">
        <v>373</v>
      </c>
      <c r="B360" s="33" t="s">
        <v>368</v>
      </c>
      <c r="C360" s="33">
        <v>11</v>
      </c>
      <c r="D360" s="33">
        <v>1</v>
      </c>
      <c r="E360" s="34">
        <v>45729</v>
      </c>
    </row>
    <row r="361" spans="1:5" s="25" customFormat="1">
      <c r="A361" s="33" t="s">
        <v>310</v>
      </c>
      <c r="B361" s="33" t="s">
        <v>94</v>
      </c>
      <c r="C361" s="33">
        <v>300</v>
      </c>
      <c r="D361" s="33">
        <v>1</v>
      </c>
      <c r="E361" s="34">
        <v>45729</v>
      </c>
    </row>
    <row r="362" spans="1:5" s="25" customFormat="1">
      <c r="A362" s="33" t="s">
        <v>82</v>
      </c>
      <c r="B362" s="33" t="s">
        <v>83</v>
      </c>
      <c r="C362" s="33">
        <v>3</v>
      </c>
      <c r="D362" s="33">
        <v>1</v>
      </c>
      <c r="E362" s="34">
        <v>45729</v>
      </c>
    </row>
    <row r="363" spans="1:5" s="25" customFormat="1">
      <c r="A363" s="33" t="s">
        <v>80</v>
      </c>
      <c r="B363" s="33" t="s">
        <v>81</v>
      </c>
      <c r="C363" s="33">
        <v>3</v>
      </c>
      <c r="D363" s="33">
        <v>1</v>
      </c>
      <c r="E363" s="34">
        <v>45729</v>
      </c>
    </row>
    <row r="364" spans="1:5" s="25" customFormat="1">
      <c r="A364" s="33" t="s">
        <v>79</v>
      </c>
      <c r="B364" s="33" t="s">
        <v>342</v>
      </c>
      <c r="C364" s="33">
        <v>15</v>
      </c>
      <c r="D364" s="33">
        <v>1</v>
      </c>
      <c r="E364" s="34">
        <v>45729</v>
      </c>
    </row>
    <row r="365" spans="1:5" s="25" customFormat="1">
      <c r="A365" s="33" t="s">
        <v>76</v>
      </c>
      <c r="B365" s="33" t="s">
        <v>78</v>
      </c>
      <c r="C365" s="33">
        <v>5</v>
      </c>
      <c r="D365" s="33">
        <v>1</v>
      </c>
      <c r="E365" s="34">
        <v>45729</v>
      </c>
    </row>
    <row r="366" spans="1:5" s="25" customFormat="1">
      <c r="A366" s="33" t="s">
        <v>75</v>
      </c>
      <c r="B366" s="33" t="s">
        <v>77</v>
      </c>
      <c r="C366" s="33">
        <v>5</v>
      </c>
      <c r="D366" s="33">
        <v>1</v>
      </c>
      <c r="E366" s="34">
        <v>45729</v>
      </c>
    </row>
    <row r="367" spans="1:5" s="25" customFormat="1">
      <c r="A367" s="33" t="s">
        <v>73</v>
      </c>
      <c r="B367" s="33" t="s">
        <v>74</v>
      </c>
      <c r="C367" s="33">
        <v>5</v>
      </c>
      <c r="D367" s="33">
        <v>1</v>
      </c>
      <c r="E367" s="34">
        <v>45729</v>
      </c>
    </row>
    <row r="368" spans="1:5" s="25" customFormat="1">
      <c r="A368" s="33" t="s">
        <v>71</v>
      </c>
      <c r="B368" s="33" t="s">
        <v>72</v>
      </c>
      <c r="C368" s="33">
        <v>5</v>
      </c>
      <c r="D368" s="33">
        <v>1</v>
      </c>
      <c r="E368" s="34">
        <v>45729</v>
      </c>
    </row>
    <row r="369" spans="1:5" s="25" customFormat="1">
      <c r="A369" s="33" t="s">
        <v>69</v>
      </c>
      <c r="B369" s="33" t="s">
        <v>70</v>
      </c>
      <c r="C369" s="33">
        <v>2</v>
      </c>
      <c r="D369" s="33">
        <v>1</v>
      </c>
      <c r="E369" s="34">
        <v>45729</v>
      </c>
    </row>
    <row r="370" spans="1:5" s="25" customFormat="1">
      <c r="A370" s="33" t="s">
        <v>67</v>
      </c>
      <c r="B370" s="33" t="s">
        <v>68</v>
      </c>
      <c r="C370" s="33">
        <v>1</v>
      </c>
      <c r="D370" s="33">
        <v>1</v>
      </c>
      <c r="E370" s="34">
        <v>45729</v>
      </c>
    </row>
    <row r="371" spans="1:5" s="25" customFormat="1">
      <c r="A371" s="33" t="s">
        <v>65</v>
      </c>
      <c r="B371" s="33" t="s">
        <v>66</v>
      </c>
      <c r="C371" s="33">
        <v>10</v>
      </c>
      <c r="D371" s="33">
        <v>1</v>
      </c>
      <c r="E371" s="34">
        <v>45729</v>
      </c>
    </row>
    <row r="372" spans="1:5" s="25" customFormat="1">
      <c r="A372" s="33" t="s">
        <v>63</v>
      </c>
      <c r="B372" s="33" t="s">
        <v>64</v>
      </c>
      <c r="C372" s="33">
        <v>10</v>
      </c>
      <c r="D372" s="33">
        <v>1</v>
      </c>
      <c r="E372" s="34">
        <v>45729</v>
      </c>
    </row>
    <row r="373" spans="1:5" s="25" customFormat="1">
      <c r="A373" s="33" t="s">
        <v>62</v>
      </c>
      <c r="B373" s="33" t="s">
        <v>325</v>
      </c>
      <c r="C373" s="33">
        <v>10</v>
      </c>
      <c r="D373" s="33">
        <v>1</v>
      </c>
      <c r="E373" s="34">
        <v>45729</v>
      </c>
    </row>
    <row r="374" spans="1:5" s="25" customFormat="1">
      <c r="A374" s="33" t="s">
        <v>61</v>
      </c>
      <c r="B374" s="33" t="s">
        <v>59</v>
      </c>
      <c r="C374" s="33">
        <v>20</v>
      </c>
      <c r="D374" s="33">
        <v>1</v>
      </c>
      <c r="E374" s="34">
        <v>45729</v>
      </c>
    </row>
    <row r="375" spans="1:5" s="25" customFormat="1">
      <c r="A375" s="33" t="s">
        <v>58</v>
      </c>
      <c r="B375" s="33" t="s">
        <v>92</v>
      </c>
      <c r="C375" s="33">
        <v>2</v>
      </c>
      <c r="D375" s="33">
        <v>1</v>
      </c>
      <c r="E375" s="34">
        <v>45729</v>
      </c>
    </row>
    <row r="376" spans="1:5" s="25" customFormat="1">
      <c r="A376" s="33" t="s">
        <v>57</v>
      </c>
      <c r="B376" s="33" t="s">
        <v>93</v>
      </c>
      <c r="C376" s="33">
        <v>2</v>
      </c>
      <c r="D376" s="33">
        <v>1</v>
      </c>
      <c r="E376" s="34">
        <v>45729</v>
      </c>
    </row>
    <row r="377" spans="1:5" s="25" customFormat="1">
      <c r="A377" s="33" t="s">
        <v>55</v>
      </c>
      <c r="B377" s="33" t="s">
        <v>56</v>
      </c>
      <c r="C377" s="33">
        <v>2</v>
      </c>
      <c r="D377" s="33">
        <v>1</v>
      </c>
      <c r="E377" s="34">
        <v>45729</v>
      </c>
    </row>
    <row r="378" spans="1:5" s="25" customFormat="1">
      <c r="A378" s="33" t="s">
        <v>54</v>
      </c>
      <c r="B378" s="33" t="s">
        <v>191</v>
      </c>
      <c r="C378" s="33">
        <v>5</v>
      </c>
      <c r="D378" s="33">
        <v>1</v>
      </c>
      <c r="E378" s="34">
        <v>45729</v>
      </c>
    </row>
    <row r="379" spans="1:5" s="25" customFormat="1">
      <c r="A379" s="33" t="s">
        <v>53</v>
      </c>
      <c r="B379" s="33" t="s">
        <v>52</v>
      </c>
      <c r="C379" s="33">
        <v>5</v>
      </c>
      <c r="D379" s="33">
        <v>1</v>
      </c>
      <c r="E379" s="34">
        <v>45729</v>
      </c>
    </row>
    <row r="380" spans="1:5" s="25" customFormat="1">
      <c r="A380" s="33" t="s">
        <v>34</v>
      </c>
      <c r="B380" s="33" t="s">
        <v>39</v>
      </c>
      <c r="C380" s="33">
        <v>10</v>
      </c>
      <c r="D380" s="33">
        <v>1</v>
      </c>
      <c r="E380" s="34">
        <v>45729</v>
      </c>
    </row>
    <row r="381" spans="1:5" s="25" customFormat="1">
      <c r="A381" s="33" t="s">
        <v>91</v>
      </c>
      <c r="B381" s="33" t="s">
        <v>51</v>
      </c>
      <c r="C381" s="33">
        <v>3</v>
      </c>
      <c r="D381" s="33">
        <v>1</v>
      </c>
      <c r="E381" s="34">
        <v>45729</v>
      </c>
    </row>
    <row r="382" spans="1:5" s="25" customFormat="1">
      <c r="A382" s="33" t="s">
        <v>90</v>
      </c>
      <c r="B382" s="33" t="s">
        <v>50</v>
      </c>
      <c r="C382" s="33">
        <v>8</v>
      </c>
      <c r="D382" s="33">
        <v>1</v>
      </c>
      <c r="E382" s="34">
        <v>45729</v>
      </c>
    </row>
    <row r="383" spans="1:5" s="25" customFormat="1">
      <c r="A383" s="33" t="s">
        <v>89</v>
      </c>
      <c r="B383" s="33" t="s">
        <v>49</v>
      </c>
      <c r="C383" s="33">
        <v>4</v>
      </c>
      <c r="D383" s="33">
        <v>1</v>
      </c>
      <c r="E383" s="34">
        <v>45729</v>
      </c>
    </row>
    <row r="384" spans="1:5" s="25" customFormat="1">
      <c r="A384" s="33" t="s">
        <v>88</v>
      </c>
      <c r="B384" s="33" t="s">
        <v>48</v>
      </c>
      <c r="C384" s="33">
        <v>5</v>
      </c>
      <c r="D384" s="33">
        <v>1</v>
      </c>
      <c r="E384" s="34">
        <v>45729</v>
      </c>
    </row>
    <row r="385" spans="1:5" s="25" customFormat="1">
      <c r="A385" s="33" t="s">
        <v>19</v>
      </c>
      <c r="B385" s="33" t="s">
        <v>20</v>
      </c>
      <c r="C385" s="33">
        <v>5</v>
      </c>
      <c r="D385" s="33">
        <v>1</v>
      </c>
      <c r="E385" s="34">
        <v>45728</v>
      </c>
    </row>
    <row r="386" spans="1:5" s="25" customFormat="1">
      <c r="A386" s="33" t="s">
        <v>15</v>
      </c>
      <c r="B386" s="33" t="s">
        <v>16</v>
      </c>
      <c r="C386" s="33">
        <v>20</v>
      </c>
      <c r="D386" s="33">
        <v>1</v>
      </c>
      <c r="E386" s="34">
        <v>45728</v>
      </c>
    </row>
    <row r="387" spans="1:5" s="25" customFormat="1">
      <c r="A387" s="33" t="s">
        <v>85</v>
      </c>
      <c r="B387" s="33" t="s">
        <v>45</v>
      </c>
      <c r="C387" s="33">
        <v>6</v>
      </c>
      <c r="D387" s="33">
        <v>1</v>
      </c>
      <c r="E387" s="34">
        <v>45728</v>
      </c>
    </row>
    <row r="388" spans="1:5" s="25" customFormat="1">
      <c r="A388" s="33" t="s">
        <v>84</v>
      </c>
      <c r="B388" s="33" t="s">
        <v>44</v>
      </c>
      <c r="C388" s="33">
        <v>14</v>
      </c>
      <c r="D388" s="33">
        <v>1</v>
      </c>
      <c r="E388" s="34">
        <v>45728</v>
      </c>
    </row>
    <row r="389" spans="1:5" s="25" customFormat="1">
      <c r="A389" s="33" t="s">
        <v>35</v>
      </c>
      <c r="B389" s="33" t="s">
        <v>43</v>
      </c>
      <c r="C389" s="33">
        <v>30</v>
      </c>
      <c r="D389" s="33">
        <v>1</v>
      </c>
      <c r="E389" s="34">
        <v>45728</v>
      </c>
    </row>
    <row r="390" spans="1:5" s="25" customFormat="1">
      <c r="A390" s="33" t="s">
        <v>36</v>
      </c>
      <c r="B390" s="33" t="s">
        <v>42</v>
      </c>
      <c r="C390" s="33">
        <v>3</v>
      </c>
      <c r="D390" s="33">
        <v>1</v>
      </c>
      <c r="E390" s="34">
        <v>45728</v>
      </c>
    </row>
    <row r="391" spans="1:5" s="25" customFormat="1">
      <c r="A391" s="33" t="s">
        <v>38</v>
      </c>
      <c r="B391" s="33" t="s">
        <v>41</v>
      </c>
      <c r="C391" s="33">
        <v>5</v>
      </c>
      <c r="D391" s="33">
        <v>1</v>
      </c>
      <c r="E391" s="34">
        <v>45728</v>
      </c>
    </row>
    <row r="392" spans="1:5" s="25" customFormat="1">
      <c r="A392" s="33" t="s">
        <v>37</v>
      </c>
      <c r="B392" s="33" t="s">
        <v>40</v>
      </c>
      <c r="C392" s="33">
        <v>5</v>
      </c>
      <c r="D392" s="33">
        <v>1</v>
      </c>
      <c r="E392" s="34">
        <v>45728</v>
      </c>
    </row>
    <row r="393" spans="1:5" s="25" customFormat="1">
      <c r="A393" s="33" t="s">
        <v>32</v>
      </c>
      <c r="B393" s="33" t="s">
        <v>33</v>
      </c>
      <c r="C393" s="33">
        <v>10</v>
      </c>
      <c r="D393" s="33">
        <v>1</v>
      </c>
      <c r="E393" s="34">
        <v>45728</v>
      </c>
    </row>
    <row r="394" spans="1:5" s="25" customFormat="1">
      <c r="A394" s="33" t="s">
        <v>117</v>
      </c>
      <c r="B394" s="33" t="s">
        <v>118</v>
      </c>
      <c r="C394" s="33">
        <v>57</v>
      </c>
      <c r="D394" s="33">
        <v>1</v>
      </c>
      <c r="E394" s="34">
        <v>45728</v>
      </c>
    </row>
    <row r="395" spans="1:5" s="25" customFormat="1">
      <c r="A395" s="33" t="s">
        <v>312</v>
      </c>
      <c r="B395" s="33" t="s">
        <v>28</v>
      </c>
      <c r="C395" s="33">
        <v>200</v>
      </c>
      <c r="D395" s="33">
        <v>1</v>
      </c>
      <c r="E395" s="34">
        <v>45727</v>
      </c>
    </row>
    <row r="396" spans="1:5" s="25" customFormat="1">
      <c r="A396" s="33" t="s">
        <v>311</v>
      </c>
      <c r="B396" s="33" t="s">
        <v>27</v>
      </c>
      <c r="C396" s="33">
        <v>100</v>
      </c>
      <c r="D396" s="33">
        <v>1</v>
      </c>
      <c r="E396" s="34">
        <v>45727</v>
      </c>
    </row>
    <row r="397" spans="1:5" s="25" customFormat="1">
      <c r="A397" s="33" t="s">
        <v>25</v>
      </c>
      <c r="B397" s="33" t="s">
        <v>26</v>
      </c>
      <c r="C397" s="33">
        <v>150</v>
      </c>
      <c r="D397" s="33">
        <v>1</v>
      </c>
      <c r="E397" s="34">
        <v>45727</v>
      </c>
    </row>
    <row r="398" spans="1:5" s="25" customFormat="1">
      <c r="A398" s="33" t="s">
        <v>23</v>
      </c>
      <c r="B398" s="33" t="s">
        <v>24</v>
      </c>
      <c r="C398" s="33">
        <v>150</v>
      </c>
      <c r="D398" s="33">
        <v>1</v>
      </c>
      <c r="E398" s="34">
        <v>45727</v>
      </c>
    </row>
    <row r="399" spans="1:5" s="25" customFormat="1">
      <c r="A399" s="33" t="s">
        <v>19</v>
      </c>
      <c r="B399" s="33" t="s">
        <v>20</v>
      </c>
      <c r="C399" s="33">
        <v>5</v>
      </c>
      <c r="D399" s="33">
        <v>1</v>
      </c>
      <c r="E399" s="34">
        <v>45727</v>
      </c>
    </row>
    <row r="400" spans="1:5" s="25" customFormat="1">
      <c r="A400" s="33" t="s">
        <v>17</v>
      </c>
      <c r="B400" s="33" t="s">
        <v>18</v>
      </c>
      <c r="C400" s="33">
        <v>5</v>
      </c>
      <c r="D400" s="33">
        <v>1</v>
      </c>
      <c r="E400" s="34">
        <v>45727</v>
      </c>
    </row>
    <row r="401" spans="1:5" s="25" customFormat="1">
      <c r="A401" s="33" t="s">
        <v>15</v>
      </c>
      <c r="B401" s="33" t="s">
        <v>16</v>
      </c>
      <c r="C401" s="33">
        <v>25</v>
      </c>
      <c r="D401" s="33">
        <v>1</v>
      </c>
      <c r="E401" s="34">
        <v>45727</v>
      </c>
    </row>
    <row r="402" spans="1:5" s="25" customFormat="1">
      <c r="A402" s="33" t="s">
        <v>13</v>
      </c>
      <c r="B402" s="33" t="s">
        <v>14</v>
      </c>
      <c r="C402" s="33">
        <v>50</v>
      </c>
      <c r="D402" s="33">
        <v>1</v>
      </c>
      <c r="E402" s="34">
        <v>45727</v>
      </c>
    </row>
    <row r="403" spans="1:5" s="25" customFormat="1">
      <c r="A403" s="33" t="s">
        <v>7</v>
      </c>
      <c r="B403" s="33" t="s">
        <v>8</v>
      </c>
      <c r="C403" s="33">
        <v>50</v>
      </c>
      <c r="D403" s="33">
        <v>1</v>
      </c>
      <c r="E403" s="34">
        <v>45723</v>
      </c>
    </row>
    <row r="404" spans="1:5">
      <c r="A404" s="16"/>
      <c r="B404" s="16"/>
      <c r="C404" s="16"/>
      <c r="D404" s="16"/>
      <c r="E404" s="16"/>
    </row>
    <row r="405" spans="1:5">
      <c r="A405" s="16"/>
      <c r="B405" s="16"/>
      <c r="C405" s="16"/>
      <c r="D405" s="16"/>
      <c r="E405" s="16"/>
    </row>
    <row r="406" spans="1:5">
      <c r="A406" s="16"/>
      <c r="B406" s="16"/>
      <c r="C406" s="16"/>
      <c r="D406" s="16"/>
      <c r="E406" s="16"/>
    </row>
    <row r="407" spans="1:5">
      <c r="A407" s="16"/>
      <c r="B407" s="16"/>
      <c r="C407" s="16"/>
      <c r="D407" s="16"/>
      <c r="E407" s="16"/>
    </row>
    <row r="408" spans="1:5">
      <c r="A408" s="16"/>
      <c r="B408" s="16"/>
      <c r="C408" s="16"/>
      <c r="D408" s="16"/>
      <c r="E408" s="16"/>
    </row>
    <row r="409" spans="1:5">
      <c r="A409" s="16"/>
      <c r="B409" s="16"/>
      <c r="C409" s="16"/>
      <c r="D409" s="16"/>
      <c r="E409" s="16"/>
    </row>
    <row r="410" spans="1:5">
      <c r="A410" s="16"/>
      <c r="B410" s="16"/>
      <c r="C410" s="16"/>
      <c r="D410" s="16"/>
      <c r="E410" s="16"/>
    </row>
    <row r="411" spans="1:5">
      <c r="A411" s="16"/>
      <c r="B411" s="16"/>
      <c r="C411" s="16"/>
      <c r="D411" s="16"/>
      <c r="E411" s="16"/>
    </row>
    <row r="412" spans="1:5">
      <c r="A412" s="16"/>
      <c r="B412" s="16"/>
      <c r="C412" s="16"/>
      <c r="D412" s="16"/>
      <c r="E412" s="16"/>
    </row>
    <row r="413" spans="1:5">
      <c r="A413" s="16"/>
      <c r="B413" s="16"/>
      <c r="C413" s="16"/>
      <c r="D413" s="16"/>
      <c r="E413" s="16"/>
    </row>
    <row r="414" spans="1:5">
      <c r="A414" s="16"/>
      <c r="B414" s="16"/>
      <c r="C414" s="16"/>
      <c r="D414" s="16"/>
      <c r="E414" s="16"/>
    </row>
    <row r="415" spans="1:5">
      <c r="A415" s="16"/>
      <c r="B415" s="16"/>
      <c r="C415" s="16"/>
      <c r="D415" s="16"/>
      <c r="E415" s="16"/>
    </row>
    <row r="416" spans="1:5">
      <c r="A416" s="16"/>
      <c r="B416" s="16"/>
      <c r="C416" s="16"/>
      <c r="D416" s="16"/>
      <c r="E416" s="16"/>
    </row>
    <row r="417" spans="1:5">
      <c r="A417" s="16"/>
      <c r="B417" s="16"/>
      <c r="C417" s="16"/>
      <c r="D417" s="16"/>
      <c r="E417" s="16"/>
    </row>
  </sheetData>
  <pageMargins left="0.70866141732283472" right="0.70866141732283472" top="0" bottom="0" header="0.31496062992125984" footer="0.31496062992125984"/>
  <pageSetup paperSize="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E0A30-82A1-4A14-BC89-E28E14EB6B63}">
  <sheetPr codeName="Hoja3"/>
  <dimension ref="A1:H109"/>
  <sheetViews>
    <sheetView workbookViewId="0">
      <selection activeCell="F26" sqref="F26"/>
    </sheetView>
  </sheetViews>
  <sheetFormatPr baseColWidth="10" defaultRowHeight="14.25"/>
  <cols>
    <col min="2" max="2" width="33.625" customWidth="1"/>
  </cols>
  <sheetData>
    <row r="1" spans="1:5">
      <c r="A1" s="16" t="s">
        <v>1</v>
      </c>
      <c r="B1" s="16" t="s">
        <v>2</v>
      </c>
      <c r="C1" s="16" t="s">
        <v>3</v>
      </c>
      <c r="D1" s="16" t="s">
        <v>6</v>
      </c>
      <c r="E1" s="26" t="s">
        <v>5</v>
      </c>
    </row>
    <row r="2" spans="1:5">
      <c r="A2" s="16" t="s">
        <v>268</v>
      </c>
      <c r="B2" s="16" t="s">
        <v>269</v>
      </c>
      <c r="C2" s="16">
        <v>1</v>
      </c>
      <c r="D2" s="16">
        <v>1</v>
      </c>
      <c r="E2" s="26">
        <v>45803</v>
      </c>
    </row>
    <row r="3" spans="1:5">
      <c r="A3" s="16" t="s">
        <v>35</v>
      </c>
      <c r="B3" s="16" t="s">
        <v>43</v>
      </c>
      <c r="C3" s="16">
        <v>1</v>
      </c>
      <c r="D3" s="16">
        <v>1</v>
      </c>
      <c r="E3" s="26">
        <v>45768</v>
      </c>
    </row>
    <row r="4" spans="1:5">
      <c r="A4" s="16" t="s">
        <v>125</v>
      </c>
      <c r="B4" s="16" t="s">
        <v>126</v>
      </c>
      <c r="C4" s="16">
        <v>6</v>
      </c>
      <c r="D4" s="16">
        <v>1</v>
      </c>
      <c r="E4" s="26">
        <v>45777</v>
      </c>
    </row>
    <row r="5" spans="1:5">
      <c r="A5" s="16" t="s">
        <v>125</v>
      </c>
      <c r="B5" s="16" t="s">
        <v>126</v>
      </c>
      <c r="C5" s="16">
        <v>4</v>
      </c>
      <c r="D5" s="16">
        <v>1</v>
      </c>
      <c r="E5" s="26">
        <v>45785</v>
      </c>
    </row>
    <row r="6" spans="1:5">
      <c r="A6" s="16" t="s">
        <v>125</v>
      </c>
      <c r="B6" s="16" t="s">
        <v>126</v>
      </c>
      <c r="C6" s="16">
        <v>6</v>
      </c>
      <c r="D6" s="16">
        <v>1</v>
      </c>
      <c r="E6" s="26">
        <v>45798</v>
      </c>
    </row>
    <row r="7" spans="1:5">
      <c r="A7" s="16" t="s">
        <v>121</v>
      </c>
      <c r="B7" s="16" t="s">
        <v>122</v>
      </c>
      <c r="C7" s="16">
        <v>6</v>
      </c>
      <c r="D7" s="16">
        <v>1</v>
      </c>
      <c r="E7" s="26">
        <v>45798</v>
      </c>
    </row>
    <row r="8" spans="1:5">
      <c r="A8" s="16" t="s">
        <v>125</v>
      </c>
      <c r="B8" s="16" t="s">
        <v>126</v>
      </c>
      <c r="C8" s="16">
        <v>5</v>
      </c>
      <c r="D8" s="16">
        <v>1</v>
      </c>
      <c r="E8" s="26">
        <v>45798</v>
      </c>
    </row>
    <row r="9" spans="1:5">
      <c r="A9" s="16" t="s">
        <v>121</v>
      </c>
      <c r="B9" s="16" t="s">
        <v>122</v>
      </c>
      <c r="C9" s="16">
        <v>6</v>
      </c>
      <c r="D9" s="16">
        <v>1</v>
      </c>
      <c r="E9" s="26">
        <v>45798</v>
      </c>
    </row>
    <row r="10" spans="1:5">
      <c r="A10" s="16" t="s">
        <v>29</v>
      </c>
      <c r="B10" s="16" t="s">
        <v>30</v>
      </c>
      <c r="C10" s="16">
        <v>32</v>
      </c>
      <c r="D10" s="16">
        <v>1</v>
      </c>
      <c r="E10" s="26">
        <v>45783</v>
      </c>
    </row>
    <row r="11" spans="1:5">
      <c r="A11" s="16" t="s">
        <v>352</v>
      </c>
      <c r="B11" s="16" t="s">
        <v>353</v>
      </c>
      <c r="C11" s="16">
        <v>1</v>
      </c>
      <c r="D11" s="16">
        <v>1</v>
      </c>
      <c r="E11" s="26">
        <v>45772</v>
      </c>
    </row>
    <row r="12" spans="1:5">
      <c r="A12" s="16" t="s">
        <v>100</v>
      </c>
      <c r="B12" s="16" t="s">
        <v>102</v>
      </c>
      <c r="C12" s="16">
        <v>1</v>
      </c>
      <c r="D12" s="16">
        <v>1</v>
      </c>
      <c r="E12" s="26">
        <v>45776</v>
      </c>
    </row>
    <row r="13" spans="1:5">
      <c r="A13" s="16" t="s">
        <v>196</v>
      </c>
      <c r="B13" s="16" t="s">
        <v>197</v>
      </c>
      <c r="C13" s="16">
        <v>6</v>
      </c>
      <c r="D13" s="16">
        <v>1</v>
      </c>
      <c r="E13" s="26">
        <v>45777</v>
      </c>
    </row>
    <row r="14" spans="1:5">
      <c r="A14" s="16" t="s">
        <v>196</v>
      </c>
      <c r="B14" s="16" t="s">
        <v>197</v>
      </c>
      <c r="C14" s="16">
        <v>4</v>
      </c>
      <c r="D14" s="16">
        <v>1</v>
      </c>
      <c r="E14" s="26">
        <v>45785</v>
      </c>
    </row>
    <row r="15" spans="1:5">
      <c r="A15" s="16" t="s">
        <v>196</v>
      </c>
      <c r="B15" s="16" t="s">
        <v>197</v>
      </c>
      <c r="C15" s="16">
        <v>10</v>
      </c>
      <c r="D15" s="16">
        <v>1</v>
      </c>
      <c r="E15" s="26">
        <v>45789</v>
      </c>
    </row>
    <row r="16" spans="1:5">
      <c r="A16" s="16" t="s">
        <v>196</v>
      </c>
      <c r="B16" s="16" t="s">
        <v>197</v>
      </c>
      <c r="C16" s="16">
        <v>6</v>
      </c>
      <c r="D16" s="16">
        <v>1</v>
      </c>
      <c r="E16" s="26">
        <v>45798</v>
      </c>
    </row>
    <row r="17" spans="1:5">
      <c r="A17" s="16" t="s">
        <v>196</v>
      </c>
      <c r="B17" s="16" t="s">
        <v>197</v>
      </c>
      <c r="C17" s="16">
        <v>5</v>
      </c>
      <c r="D17" s="16">
        <v>1</v>
      </c>
      <c r="E17" s="26">
        <v>45803</v>
      </c>
    </row>
    <row r="18" spans="1:5">
      <c r="A18" s="16" t="s">
        <v>196</v>
      </c>
      <c r="B18" s="16" t="s">
        <v>197</v>
      </c>
      <c r="C18" s="16">
        <v>6</v>
      </c>
      <c r="D18" s="16">
        <v>1</v>
      </c>
      <c r="E18" s="26">
        <v>45798</v>
      </c>
    </row>
    <row r="19" spans="1:5">
      <c r="A19" s="16" t="s">
        <v>323</v>
      </c>
      <c r="B19" s="16" t="s">
        <v>324</v>
      </c>
      <c r="C19" s="16">
        <v>6</v>
      </c>
      <c r="D19" s="16">
        <v>1</v>
      </c>
      <c r="E19" s="26">
        <v>45798</v>
      </c>
    </row>
    <row r="20" spans="1:5">
      <c r="A20" s="16" t="s">
        <v>188</v>
      </c>
      <c r="B20" s="16" t="s">
        <v>187</v>
      </c>
      <c r="C20" s="16">
        <v>5</v>
      </c>
      <c r="D20" s="16">
        <v>1</v>
      </c>
      <c r="E20" s="26">
        <v>45763</v>
      </c>
    </row>
    <row r="21" spans="1:5">
      <c r="A21" s="16" t="s">
        <v>188</v>
      </c>
      <c r="B21" s="16" t="s">
        <v>187</v>
      </c>
      <c r="C21" s="16">
        <v>15</v>
      </c>
      <c r="D21" s="16">
        <v>1</v>
      </c>
      <c r="E21" s="26">
        <v>45769</v>
      </c>
    </row>
    <row r="22" spans="1:5">
      <c r="A22" s="16" t="s">
        <v>188</v>
      </c>
      <c r="B22" s="16" t="s">
        <v>187</v>
      </c>
      <c r="C22" s="16">
        <v>6</v>
      </c>
      <c r="D22" s="16">
        <v>1</v>
      </c>
      <c r="E22" s="26">
        <v>45796</v>
      </c>
    </row>
    <row r="23" spans="1:5">
      <c r="A23" s="16" t="s">
        <v>188</v>
      </c>
      <c r="B23" s="16" t="s">
        <v>187</v>
      </c>
      <c r="C23" s="16">
        <v>12</v>
      </c>
      <c r="D23" s="16">
        <v>1</v>
      </c>
      <c r="E23" s="26">
        <v>45798</v>
      </c>
    </row>
    <row r="24" spans="1:5">
      <c r="A24" s="16" t="s">
        <v>348</v>
      </c>
      <c r="B24" s="16" t="s">
        <v>349</v>
      </c>
      <c r="C24" s="16">
        <v>6</v>
      </c>
      <c r="D24" s="16">
        <v>1</v>
      </c>
      <c r="E24" s="26">
        <v>45786</v>
      </c>
    </row>
    <row r="25" spans="1:5">
      <c r="A25" s="16" t="s">
        <v>38</v>
      </c>
      <c r="B25" s="16" t="s">
        <v>41</v>
      </c>
      <c r="C25" s="16">
        <v>1</v>
      </c>
      <c r="D25" s="16">
        <v>1</v>
      </c>
      <c r="E25" s="26">
        <v>45768</v>
      </c>
    </row>
    <row r="26" spans="1:5">
      <c r="A26" s="16" t="s">
        <v>38</v>
      </c>
      <c r="B26" s="16" t="s">
        <v>41</v>
      </c>
      <c r="C26" s="16">
        <v>1</v>
      </c>
      <c r="D26" s="16">
        <v>1</v>
      </c>
      <c r="E26" s="26">
        <v>45791</v>
      </c>
    </row>
    <row r="27" spans="1:5">
      <c r="A27" s="16" t="s">
        <v>37</v>
      </c>
      <c r="B27" s="16" t="s">
        <v>40</v>
      </c>
      <c r="C27" s="16">
        <v>2</v>
      </c>
      <c r="D27" s="16">
        <v>1</v>
      </c>
      <c r="E27" s="26">
        <v>45768</v>
      </c>
    </row>
    <row r="28" spans="1:5">
      <c r="A28" s="16" t="s">
        <v>37</v>
      </c>
      <c r="B28" s="16" t="s">
        <v>40</v>
      </c>
      <c r="C28" s="16">
        <v>1</v>
      </c>
      <c r="D28" s="16">
        <v>1</v>
      </c>
      <c r="E28" s="26">
        <v>45769</v>
      </c>
    </row>
    <row r="29" spans="1:5">
      <c r="A29" s="16" t="s">
        <v>37</v>
      </c>
      <c r="B29" s="16" t="s">
        <v>40</v>
      </c>
      <c r="C29" s="16">
        <v>1</v>
      </c>
      <c r="D29" s="16">
        <v>1</v>
      </c>
      <c r="E29" s="26">
        <v>45783</v>
      </c>
    </row>
    <row r="30" spans="1:5">
      <c r="A30" s="16" t="s">
        <v>37</v>
      </c>
      <c r="B30" s="16" t="s">
        <v>40</v>
      </c>
      <c r="C30" s="16">
        <v>1</v>
      </c>
      <c r="D30" s="16">
        <v>1</v>
      </c>
      <c r="E30" s="26">
        <v>45791</v>
      </c>
    </row>
    <row r="31" spans="1:5">
      <c r="A31" s="16" t="s">
        <v>36</v>
      </c>
      <c r="B31" s="16" t="s">
        <v>42</v>
      </c>
      <c r="C31" s="16">
        <v>1</v>
      </c>
      <c r="D31" s="16">
        <v>1</v>
      </c>
      <c r="E31" s="26">
        <v>45768</v>
      </c>
    </row>
    <row r="32" spans="1:5">
      <c r="A32" s="16" t="s">
        <v>312</v>
      </c>
      <c r="B32" s="16" t="s">
        <v>28</v>
      </c>
      <c r="C32" s="16">
        <v>50</v>
      </c>
      <c r="D32" s="16">
        <v>1</v>
      </c>
      <c r="E32" s="26">
        <v>45783</v>
      </c>
    </row>
    <row r="33" spans="1:5">
      <c r="A33" s="16" t="s">
        <v>311</v>
      </c>
      <c r="B33" s="16" t="s">
        <v>27</v>
      </c>
      <c r="C33" s="16">
        <v>10</v>
      </c>
      <c r="D33" s="16">
        <v>1</v>
      </c>
      <c r="E33" s="26">
        <v>45783</v>
      </c>
    </row>
    <row r="34" spans="1:5">
      <c r="A34" s="16" t="s">
        <v>88</v>
      </c>
      <c r="B34" s="16" t="s">
        <v>48</v>
      </c>
      <c r="C34" s="16">
        <v>5</v>
      </c>
      <c r="D34" s="16">
        <v>1</v>
      </c>
      <c r="E34" s="26">
        <v>45757</v>
      </c>
    </row>
    <row r="35" spans="1:5">
      <c r="A35" s="16" t="s">
        <v>91</v>
      </c>
      <c r="B35" s="16" t="s">
        <v>51</v>
      </c>
      <c r="C35" s="16">
        <v>3</v>
      </c>
      <c r="D35" s="16">
        <v>1</v>
      </c>
      <c r="E35" s="26">
        <v>45757</v>
      </c>
    </row>
    <row r="36" spans="1:5">
      <c r="A36" s="16" t="s">
        <v>90</v>
      </c>
      <c r="B36" s="16" t="s">
        <v>50</v>
      </c>
      <c r="C36" s="16">
        <v>3</v>
      </c>
      <c r="D36" s="16">
        <v>1</v>
      </c>
      <c r="E36" s="26">
        <v>45757</v>
      </c>
    </row>
    <row r="37" spans="1:5">
      <c r="A37" s="16" t="s">
        <v>89</v>
      </c>
      <c r="B37" s="16" t="s">
        <v>49</v>
      </c>
      <c r="C37" s="16">
        <v>4</v>
      </c>
      <c r="D37" s="16">
        <v>1</v>
      </c>
      <c r="E37" s="26">
        <v>45757</v>
      </c>
    </row>
    <row r="38" spans="1:5">
      <c r="A38" s="16" t="s">
        <v>80</v>
      </c>
      <c r="B38" s="16" t="s">
        <v>81</v>
      </c>
      <c r="C38" s="16">
        <v>1</v>
      </c>
      <c r="D38" s="16">
        <v>1</v>
      </c>
      <c r="E38" s="26">
        <v>45757</v>
      </c>
    </row>
    <row r="39" spans="1:5">
      <c r="A39" s="16" t="s">
        <v>188</v>
      </c>
      <c r="B39" s="16" t="s">
        <v>187</v>
      </c>
      <c r="C39" s="16">
        <v>19</v>
      </c>
      <c r="D39" s="16">
        <v>1</v>
      </c>
      <c r="E39" s="26">
        <v>45757</v>
      </c>
    </row>
    <row r="40" spans="1:5">
      <c r="A40" s="16" t="s">
        <v>321</v>
      </c>
      <c r="B40" s="16" t="s">
        <v>322</v>
      </c>
      <c r="C40" s="16">
        <v>19</v>
      </c>
      <c r="D40" s="16">
        <v>1</v>
      </c>
      <c r="E40" s="26">
        <v>45757</v>
      </c>
    </row>
    <row r="41" spans="1:5">
      <c r="A41" s="16" t="s">
        <v>76</v>
      </c>
      <c r="B41" s="16" t="s">
        <v>78</v>
      </c>
      <c r="C41" s="16">
        <v>1</v>
      </c>
      <c r="D41" s="16">
        <v>1</v>
      </c>
      <c r="E41" s="26">
        <v>45757</v>
      </c>
    </row>
    <row r="42" spans="1:5">
      <c r="A42" s="16" t="s">
        <v>75</v>
      </c>
      <c r="B42" s="16" t="s">
        <v>77</v>
      </c>
      <c r="C42" s="16">
        <v>1</v>
      </c>
      <c r="D42" s="16">
        <v>1</v>
      </c>
      <c r="E42" s="26">
        <v>45757</v>
      </c>
    </row>
    <row r="43" spans="1:5">
      <c r="A43" s="16" t="s">
        <v>38</v>
      </c>
      <c r="B43" s="16" t="s">
        <v>41</v>
      </c>
      <c r="C43" s="16">
        <v>1</v>
      </c>
      <c r="D43" s="16">
        <v>1</v>
      </c>
      <c r="E43" s="26">
        <v>45757</v>
      </c>
    </row>
    <row r="44" spans="1:5">
      <c r="A44" s="16" t="s">
        <v>62</v>
      </c>
      <c r="B44" s="16" t="s">
        <v>60</v>
      </c>
      <c r="C44" s="16">
        <v>1</v>
      </c>
      <c r="D44" s="16">
        <v>1</v>
      </c>
      <c r="E44" s="26">
        <v>45757</v>
      </c>
    </row>
    <row r="45" spans="1:5">
      <c r="A45" s="16" t="s">
        <v>317</v>
      </c>
      <c r="B45" s="16" t="s">
        <v>318</v>
      </c>
      <c r="C45" s="16">
        <v>2</v>
      </c>
      <c r="D45" s="16">
        <v>1</v>
      </c>
      <c r="E45" s="26">
        <v>45757</v>
      </c>
    </row>
    <row r="46" spans="1:5">
      <c r="A46" s="16" t="s">
        <v>61</v>
      </c>
      <c r="B46" s="16" t="s">
        <v>59</v>
      </c>
      <c r="C46" s="16">
        <v>2</v>
      </c>
      <c r="D46" s="16">
        <v>1</v>
      </c>
      <c r="E46" s="26">
        <v>45757</v>
      </c>
    </row>
    <row r="47" spans="1:5">
      <c r="A47" s="16" t="s">
        <v>251</v>
      </c>
      <c r="B47" s="16" t="s">
        <v>252</v>
      </c>
      <c r="C47" s="16">
        <v>5</v>
      </c>
      <c r="D47" s="16">
        <v>1</v>
      </c>
      <c r="E47" s="26">
        <v>45757</v>
      </c>
    </row>
    <row r="48" spans="1:5">
      <c r="A48" s="16" t="s">
        <v>32</v>
      </c>
      <c r="B48" s="16" t="s">
        <v>33</v>
      </c>
      <c r="C48" s="16">
        <v>10</v>
      </c>
      <c r="D48" s="16"/>
      <c r="E48" s="26">
        <v>45757</v>
      </c>
    </row>
    <row r="49" spans="1:5">
      <c r="A49" s="16" t="s">
        <v>84</v>
      </c>
      <c r="B49" s="16" t="s">
        <v>44</v>
      </c>
      <c r="C49" s="16">
        <v>9</v>
      </c>
      <c r="D49" s="16">
        <v>1</v>
      </c>
      <c r="E49" s="26">
        <v>45757</v>
      </c>
    </row>
    <row r="50" spans="1:5">
      <c r="A50" s="16" t="s">
        <v>35</v>
      </c>
      <c r="B50" s="16" t="s">
        <v>43</v>
      </c>
      <c r="C50" s="16">
        <v>19</v>
      </c>
      <c r="D50" s="16">
        <v>1</v>
      </c>
      <c r="E50" s="26">
        <v>45757</v>
      </c>
    </row>
    <row r="51" spans="1:5">
      <c r="A51" s="16" t="s">
        <v>34</v>
      </c>
      <c r="B51" s="16" t="s">
        <v>39</v>
      </c>
      <c r="C51" s="16">
        <v>10</v>
      </c>
      <c r="D51" s="16">
        <v>1</v>
      </c>
      <c r="E51" s="26">
        <v>45757</v>
      </c>
    </row>
    <row r="52" spans="1:5">
      <c r="A52" s="16" t="s">
        <v>65</v>
      </c>
      <c r="B52" s="16" t="s">
        <v>66</v>
      </c>
      <c r="C52" s="16">
        <v>10</v>
      </c>
      <c r="D52" s="16">
        <v>1</v>
      </c>
      <c r="E52" s="26">
        <v>45757</v>
      </c>
    </row>
    <row r="53" spans="1:5">
      <c r="A53" s="16" t="s">
        <v>63</v>
      </c>
      <c r="B53" s="16" t="s">
        <v>64</v>
      </c>
      <c r="C53" s="16">
        <v>10</v>
      </c>
      <c r="D53" s="16">
        <v>1</v>
      </c>
      <c r="E53" s="26">
        <v>45757</v>
      </c>
    </row>
    <row r="54" spans="1:5">
      <c r="A54" s="16" t="s">
        <v>268</v>
      </c>
      <c r="B54" s="16" t="s">
        <v>269</v>
      </c>
      <c r="C54" s="16">
        <v>2</v>
      </c>
      <c r="D54" s="16">
        <v>1</v>
      </c>
      <c r="E54" s="26">
        <v>45762</v>
      </c>
    </row>
    <row r="55" spans="1:5">
      <c r="A55" s="16" t="s">
        <v>188</v>
      </c>
      <c r="B55" s="16" t="s">
        <v>187</v>
      </c>
      <c r="C55" s="16">
        <v>10</v>
      </c>
      <c r="D55" s="16">
        <v>1</v>
      </c>
      <c r="E55" s="26">
        <v>45762</v>
      </c>
    </row>
    <row r="56" spans="1:5">
      <c r="A56" s="16" t="s">
        <v>313</v>
      </c>
      <c r="B56" s="16" t="s">
        <v>314</v>
      </c>
      <c r="C56" s="16">
        <v>12</v>
      </c>
      <c r="D56" s="16">
        <v>1</v>
      </c>
      <c r="E56" s="26">
        <v>45762</v>
      </c>
    </row>
    <row r="57" spans="1:5">
      <c r="A57" s="16" t="s">
        <v>192</v>
      </c>
      <c r="B57" s="16" t="s">
        <v>193</v>
      </c>
      <c r="C57" s="16">
        <v>12</v>
      </c>
      <c r="D57" s="16">
        <v>1</v>
      </c>
      <c r="E57" s="26">
        <v>45762</v>
      </c>
    </row>
    <row r="58" spans="1:5">
      <c r="A58" s="16" t="s">
        <v>117</v>
      </c>
      <c r="B58" s="16" t="s">
        <v>118</v>
      </c>
      <c r="C58" s="16">
        <v>2</v>
      </c>
      <c r="D58" s="16">
        <v>1</v>
      </c>
      <c r="E58" s="26">
        <v>45762</v>
      </c>
    </row>
    <row r="59" spans="1:5">
      <c r="A59" s="16" t="s">
        <v>147</v>
      </c>
      <c r="B59" s="16" t="s">
        <v>148</v>
      </c>
      <c r="C59" s="16" t="s">
        <v>330</v>
      </c>
      <c r="D59" s="16">
        <v>1</v>
      </c>
      <c r="E59" s="26">
        <v>45758</v>
      </c>
    </row>
    <row r="60" spans="1:5">
      <c r="A60" s="16" t="s">
        <v>55</v>
      </c>
      <c r="B60" s="16" t="s">
        <v>56</v>
      </c>
      <c r="C60" s="16">
        <v>1</v>
      </c>
      <c r="D60" s="16">
        <v>1</v>
      </c>
      <c r="E60" s="26">
        <v>45758</v>
      </c>
    </row>
    <row r="61" spans="1:5">
      <c r="A61" s="16" t="s">
        <v>117</v>
      </c>
      <c r="B61" s="16" t="s">
        <v>118</v>
      </c>
      <c r="C61" s="16">
        <v>2</v>
      </c>
      <c r="D61" s="16">
        <v>1</v>
      </c>
      <c r="E61" s="26">
        <v>45757</v>
      </c>
    </row>
    <row r="62" spans="1:5">
      <c r="A62" s="16" t="s">
        <v>117</v>
      </c>
      <c r="B62" s="16" t="s">
        <v>118</v>
      </c>
      <c r="C62" s="16">
        <v>2</v>
      </c>
      <c r="D62" s="16">
        <v>1</v>
      </c>
      <c r="E62" s="26">
        <v>45757</v>
      </c>
    </row>
    <row r="63" spans="1:5">
      <c r="A63" s="16" t="s">
        <v>117</v>
      </c>
      <c r="B63" s="16" t="s">
        <v>118</v>
      </c>
      <c r="C63" s="16">
        <v>2</v>
      </c>
      <c r="D63" s="16">
        <v>1</v>
      </c>
      <c r="E63" s="26">
        <v>45756</v>
      </c>
    </row>
    <row r="64" spans="1:5">
      <c r="A64" s="16" t="s">
        <v>312</v>
      </c>
      <c r="B64" s="16" t="s">
        <v>28</v>
      </c>
      <c r="C64" s="16">
        <v>12</v>
      </c>
      <c r="D64" s="16">
        <v>1</v>
      </c>
      <c r="E64" s="26">
        <v>45756</v>
      </c>
    </row>
    <row r="65" spans="1:8">
      <c r="A65" s="16" t="s">
        <v>192</v>
      </c>
      <c r="B65" s="16" t="s">
        <v>193</v>
      </c>
      <c r="C65" s="16">
        <v>40</v>
      </c>
      <c r="D65" s="16">
        <v>1</v>
      </c>
      <c r="E65" s="26">
        <v>45762</v>
      </c>
    </row>
    <row r="66" spans="1:8">
      <c r="A66" s="16" t="s">
        <v>117</v>
      </c>
      <c r="B66" s="16" t="s">
        <v>118</v>
      </c>
      <c r="C66" s="16">
        <v>1</v>
      </c>
      <c r="D66" s="16">
        <v>1</v>
      </c>
      <c r="E66" s="26">
        <v>45762</v>
      </c>
    </row>
    <row r="67" spans="1:8">
      <c r="A67" s="16" t="s">
        <v>220</v>
      </c>
      <c r="B67" s="16" t="s">
        <v>224</v>
      </c>
      <c r="C67" s="16">
        <v>9</v>
      </c>
      <c r="D67" s="16">
        <v>1</v>
      </c>
      <c r="E67" s="26">
        <v>45756</v>
      </c>
    </row>
    <row r="68" spans="1:8">
      <c r="A68" s="16" t="s">
        <v>117</v>
      </c>
      <c r="B68" s="16" t="s">
        <v>118</v>
      </c>
      <c r="C68" s="16">
        <v>1</v>
      </c>
      <c r="D68" s="16">
        <v>1</v>
      </c>
      <c r="E68" s="26">
        <v>45750</v>
      </c>
    </row>
    <row r="69" spans="1:8">
      <c r="A69" s="16" t="s">
        <v>192</v>
      </c>
      <c r="B69" s="16" t="s">
        <v>193</v>
      </c>
      <c r="C69" s="16">
        <v>10</v>
      </c>
      <c r="D69" s="16">
        <v>1</v>
      </c>
      <c r="E69" s="26">
        <v>45750</v>
      </c>
    </row>
    <row r="70" spans="1:8">
      <c r="A70" s="16" t="s">
        <v>188</v>
      </c>
      <c r="B70" s="16" t="s">
        <v>187</v>
      </c>
      <c r="C70" s="16">
        <v>10</v>
      </c>
      <c r="D70" s="16">
        <v>1</v>
      </c>
      <c r="E70" s="26">
        <v>45750</v>
      </c>
    </row>
    <row r="71" spans="1:8">
      <c r="A71" s="16" t="s">
        <v>265</v>
      </c>
      <c r="B71" s="16" t="s">
        <v>328</v>
      </c>
      <c r="C71" s="16">
        <v>1</v>
      </c>
      <c r="D71" s="16">
        <v>1</v>
      </c>
      <c r="E71" s="26">
        <v>45750</v>
      </c>
    </row>
    <row r="72" spans="1:8">
      <c r="A72" s="16" t="s">
        <v>209</v>
      </c>
      <c r="B72" s="16" t="s">
        <v>210</v>
      </c>
      <c r="C72" s="16">
        <v>1</v>
      </c>
      <c r="D72" s="16">
        <v>1</v>
      </c>
      <c r="E72" s="26">
        <v>45750</v>
      </c>
    </row>
    <row r="73" spans="1:8">
      <c r="A73" s="16" t="s">
        <v>58</v>
      </c>
      <c r="B73" s="16" t="s">
        <v>92</v>
      </c>
      <c r="C73" s="16">
        <v>1</v>
      </c>
      <c r="D73" s="16">
        <v>1</v>
      </c>
      <c r="E73" s="26">
        <v>45750</v>
      </c>
    </row>
    <row r="74" spans="1:8">
      <c r="A74" s="16" t="s">
        <v>25</v>
      </c>
      <c r="B74" s="16" t="s">
        <v>26</v>
      </c>
      <c r="C74" s="16">
        <v>100</v>
      </c>
      <c r="D74" s="16">
        <v>1</v>
      </c>
      <c r="E74" s="26">
        <v>45750</v>
      </c>
    </row>
    <row r="75" spans="1:8">
      <c r="A75" s="16" t="s">
        <v>111</v>
      </c>
      <c r="B75" s="16" t="s">
        <v>113</v>
      </c>
      <c r="C75" s="16">
        <v>2</v>
      </c>
      <c r="D75" s="16">
        <v>1</v>
      </c>
      <c r="E75" s="26">
        <v>45748</v>
      </c>
    </row>
    <row r="76" spans="1:8">
      <c r="A76" s="16" t="s">
        <v>313</v>
      </c>
      <c r="B76" s="16" t="s">
        <v>314</v>
      </c>
      <c r="C76" s="16">
        <v>15</v>
      </c>
      <c r="D76" s="16">
        <v>1</v>
      </c>
      <c r="E76" s="26">
        <v>45748</v>
      </c>
    </row>
    <row r="77" spans="1:8">
      <c r="A77" s="16" t="s">
        <v>192</v>
      </c>
      <c r="B77" s="16" t="s">
        <v>193</v>
      </c>
      <c r="C77" s="16">
        <v>30</v>
      </c>
      <c r="D77" s="16">
        <v>1</v>
      </c>
      <c r="E77" s="26">
        <v>45747</v>
      </c>
    </row>
    <row r="78" spans="1:8">
      <c r="A78" s="16" t="s">
        <v>117</v>
      </c>
      <c r="B78" s="16" t="s">
        <v>118</v>
      </c>
      <c r="C78" s="16">
        <v>2</v>
      </c>
      <c r="D78" s="16">
        <v>1</v>
      </c>
      <c r="E78" s="26">
        <v>45747</v>
      </c>
    </row>
    <row r="79" spans="1:8">
      <c r="A79" s="16" t="s">
        <v>292</v>
      </c>
      <c r="B79" s="16" t="s">
        <v>300</v>
      </c>
      <c r="C79" s="16">
        <v>1</v>
      </c>
      <c r="D79" s="16">
        <v>1</v>
      </c>
      <c r="E79" s="26">
        <v>45744</v>
      </c>
    </row>
    <row r="80" spans="1:8">
      <c r="A80" s="16" t="s">
        <v>291</v>
      </c>
      <c r="B80" s="16" t="s">
        <v>299</v>
      </c>
      <c r="C80" s="16">
        <v>1</v>
      </c>
      <c r="D80" s="16">
        <v>1</v>
      </c>
      <c r="E80" s="26">
        <v>45744</v>
      </c>
      <c r="F80" s="31"/>
      <c r="G80" s="32"/>
      <c r="H80" s="31"/>
    </row>
    <row r="81" spans="1:8">
      <c r="A81" s="16" t="s">
        <v>290</v>
      </c>
      <c r="B81" s="16" t="s">
        <v>298</v>
      </c>
      <c r="C81" s="16">
        <v>1</v>
      </c>
      <c r="D81" s="16">
        <v>1</v>
      </c>
      <c r="E81" s="26">
        <v>45744</v>
      </c>
      <c r="F81" s="31"/>
      <c r="G81" s="32"/>
      <c r="H81" s="31"/>
    </row>
    <row r="82" spans="1:8">
      <c r="A82" s="16" t="s">
        <v>198</v>
      </c>
      <c r="B82" s="16" t="s">
        <v>199</v>
      </c>
      <c r="C82" s="16">
        <v>4</v>
      </c>
      <c r="D82" s="16">
        <v>1</v>
      </c>
      <c r="E82" s="26">
        <v>45728</v>
      </c>
    </row>
    <row r="83" spans="1:8">
      <c r="A83" s="16" t="s">
        <v>200</v>
      </c>
      <c r="B83" s="16" t="s">
        <v>201</v>
      </c>
      <c r="C83" s="16">
        <v>4</v>
      </c>
      <c r="D83" s="16">
        <v>1</v>
      </c>
      <c r="E83" s="26">
        <v>45728</v>
      </c>
    </row>
    <row r="84" spans="1:8">
      <c r="A84" s="16" t="s">
        <v>198</v>
      </c>
      <c r="B84" s="16" t="s">
        <v>199</v>
      </c>
      <c r="C84" s="16">
        <v>1</v>
      </c>
      <c r="D84" s="16">
        <v>1</v>
      </c>
      <c r="E84" s="26">
        <v>45743</v>
      </c>
    </row>
    <row r="85" spans="1:8">
      <c r="A85" s="16" t="s">
        <v>313</v>
      </c>
      <c r="B85" s="16" t="s">
        <v>314</v>
      </c>
      <c r="C85" s="16">
        <v>10</v>
      </c>
      <c r="D85" s="16">
        <v>1</v>
      </c>
      <c r="E85" s="26">
        <v>45743</v>
      </c>
    </row>
    <row r="86" spans="1:8">
      <c r="A86" s="16" t="s">
        <v>194</v>
      </c>
      <c r="B86" s="16" t="s">
        <v>195</v>
      </c>
      <c r="C86" s="16">
        <v>5</v>
      </c>
      <c r="D86" s="16">
        <v>1</v>
      </c>
      <c r="E86" s="26">
        <v>45743</v>
      </c>
    </row>
    <row r="87" spans="1:8">
      <c r="A87" s="16" t="s">
        <v>312</v>
      </c>
      <c r="B87" s="16" t="s">
        <v>28</v>
      </c>
      <c r="C87" s="16">
        <v>30</v>
      </c>
      <c r="D87" s="16">
        <v>1</v>
      </c>
      <c r="E87" s="26">
        <v>45743</v>
      </c>
    </row>
    <row r="88" spans="1:8">
      <c r="A88" s="16" t="s">
        <v>310</v>
      </c>
      <c r="B88" s="16" t="s">
        <v>94</v>
      </c>
      <c r="C88" s="16">
        <v>50</v>
      </c>
      <c r="D88" s="16">
        <v>1</v>
      </c>
      <c r="E88" s="26">
        <v>45743</v>
      </c>
    </row>
    <row r="89" spans="1:8">
      <c r="A89" s="16" t="s">
        <v>266</v>
      </c>
      <c r="B89" s="16" t="s">
        <v>326</v>
      </c>
      <c r="C89" s="16">
        <v>2</v>
      </c>
      <c r="D89" s="16">
        <v>1</v>
      </c>
      <c r="E89" s="26">
        <v>45741</v>
      </c>
    </row>
    <row r="90" spans="1:8">
      <c r="A90" s="16" t="s">
        <v>265</v>
      </c>
      <c r="B90" s="16" t="s">
        <v>328</v>
      </c>
      <c r="C90" s="16">
        <v>3</v>
      </c>
      <c r="D90" s="16">
        <v>1</v>
      </c>
      <c r="E90" s="26">
        <v>45741</v>
      </c>
    </row>
    <row r="91" spans="1:8">
      <c r="A91" s="16" t="s">
        <v>282</v>
      </c>
      <c r="B91" s="16" t="s">
        <v>283</v>
      </c>
      <c r="C91" s="16">
        <v>30</v>
      </c>
      <c r="D91" s="16">
        <v>1</v>
      </c>
      <c r="E91" s="26">
        <v>45721</v>
      </c>
    </row>
    <row r="92" spans="1:8">
      <c r="A92" s="16" t="s">
        <v>266</v>
      </c>
      <c r="B92" s="16" t="s">
        <v>267</v>
      </c>
      <c r="C92" s="16">
        <v>1</v>
      </c>
      <c r="D92" s="16">
        <v>1</v>
      </c>
      <c r="E92" s="26">
        <v>45722</v>
      </c>
    </row>
    <row r="93" spans="1:8">
      <c r="A93" s="16" t="s">
        <v>212</v>
      </c>
      <c r="B93" s="16" t="s">
        <v>213</v>
      </c>
      <c r="C93" s="16">
        <v>1</v>
      </c>
      <c r="D93" s="16">
        <v>1</v>
      </c>
      <c r="E93" s="26">
        <v>45735</v>
      </c>
    </row>
    <row r="94" spans="1:8">
      <c r="A94" s="16" t="s">
        <v>192</v>
      </c>
      <c r="B94" s="16" t="s">
        <v>193</v>
      </c>
      <c r="C94" s="16">
        <v>15</v>
      </c>
      <c r="D94" s="16">
        <v>1</v>
      </c>
      <c r="E94" s="26">
        <v>45736</v>
      </c>
    </row>
    <row r="95" spans="1:8">
      <c r="A95" s="16" t="s">
        <v>117</v>
      </c>
      <c r="B95" s="16" t="s">
        <v>118</v>
      </c>
      <c r="C95" s="16">
        <v>2</v>
      </c>
      <c r="D95" s="16">
        <v>1</v>
      </c>
      <c r="E95" s="26">
        <v>45736</v>
      </c>
    </row>
    <row r="96" spans="1:8">
      <c r="A96" s="16" t="s">
        <v>192</v>
      </c>
      <c r="B96" s="16" t="s">
        <v>193</v>
      </c>
      <c r="C96" s="16">
        <v>68</v>
      </c>
      <c r="D96" s="16">
        <v>1</v>
      </c>
      <c r="E96" s="26">
        <v>45734</v>
      </c>
    </row>
    <row r="97" spans="1:5">
      <c r="A97" s="16" t="s">
        <v>192</v>
      </c>
      <c r="B97" s="16" t="s">
        <v>193</v>
      </c>
      <c r="C97" s="16">
        <v>20</v>
      </c>
      <c r="D97" s="16">
        <v>1</v>
      </c>
      <c r="E97" s="26">
        <v>45735</v>
      </c>
    </row>
    <row r="98" spans="1:5">
      <c r="A98" s="16" t="s">
        <v>194</v>
      </c>
      <c r="B98" s="16" t="s">
        <v>195</v>
      </c>
      <c r="C98" s="16">
        <v>10</v>
      </c>
      <c r="D98" s="16">
        <v>1</v>
      </c>
      <c r="E98" s="26">
        <v>45735</v>
      </c>
    </row>
    <row r="99" spans="1:5">
      <c r="A99" s="16" t="s">
        <v>133</v>
      </c>
      <c r="B99" s="16" t="s">
        <v>134</v>
      </c>
      <c r="C99" s="16">
        <v>1</v>
      </c>
      <c r="D99" s="16">
        <v>1</v>
      </c>
      <c r="E99" s="26">
        <v>45722</v>
      </c>
    </row>
    <row r="100" spans="1:5">
      <c r="A100" s="16" t="s">
        <v>121</v>
      </c>
      <c r="B100" s="16" t="s">
        <v>122</v>
      </c>
      <c r="C100" s="16">
        <v>6</v>
      </c>
      <c r="D100" s="16">
        <v>1</v>
      </c>
      <c r="E100" s="26">
        <v>45728</v>
      </c>
    </row>
    <row r="101" spans="1:5">
      <c r="A101" s="16" t="s">
        <v>119</v>
      </c>
      <c r="B101" s="16" t="s">
        <v>120</v>
      </c>
      <c r="C101" s="16">
        <v>2</v>
      </c>
      <c r="D101" s="16">
        <v>1</v>
      </c>
      <c r="E101" s="26">
        <v>45733</v>
      </c>
    </row>
    <row r="102" spans="1:5">
      <c r="A102" s="16" t="s">
        <v>111</v>
      </c>
      <c r="B102" s="16" t="s">
        <v>113</v>
      </c>
      <c r="C102" s="16">
        <v>2</v>
      </c>
      <c r="D102" s="16">
        <v>1</v>
      </c>
      <c r="E102" s="26">
        <v>45733</v>
      </c>
    </row>
    <row r="103" spans="1:5">
      <c r="A103" s="16" t="s">
        <v>119</v>
      </c>
      <c r="B103" s="16" t="s">
        <v>120</v>
      </c>
      <c r="C103" s="16">
        <v>2</v>
      </c>
      <c r="D103" s="16">
        <v>1</v>
      </c>
      <c r="E103" s="26">
        <v>45730</v>
      </c>
    </row>
    <row r="104" spans="1:5">
      <c r="A104" s="16" t="s">
        <v>117</v>
      </c>
      <c r="B104" s="16" t="s">
        <v>118</v>
      </c>
      <c r="C104" s="16">
        <v>3</v>
      </c>
      <c r="D104" s="16">
        <v>1</v>
      </c>
      <c r="E104" s="26">
        <v>45730</v>
      </c>
    </row>
    <row r="105" spans="1:5">
      <c r="A105" s="16" t="s">
        <v>109</v>
      </c>
      <c r="B105" s="16" t="s">
        <v>110</v>
      </c>
      <c r="C105" s="16">
        <v>2</v>
      </c>
      <c r="D105" s="16">
        <v>1</v>
      </c>
      <c r="E105" s="26">
        <v>45722</v>
      </c>
    </row>
    <row r="106" spans="1:5">
      <c r="A106" s="16" t="s">
        <v>61</v>
      </c>
      <c r="B106" s="16" t="s">
        <v>59</v>
      </c>
      <c r="C106" s="16">
        <v>2</v>
      </c>
      <c r="D106" s="16">
        <v>1</v>
      </c>
      <c r="E106" s="26">
        <v>45726</v>
      </c>
    </row>
    <row r="107" spans="1:5">
      <c r="A107" s="16" t="s">
        <v>19</v>
      </c>
      <c r="B107" s="16" t="s">
        <v>20</v>
      </c>
      <c r="C107" s="16">
        <v>1</v>
      </c>
      <c r="D107" s="16">
        <v>1</v>
      </c>
      <c r="E107" s="26">
        <v>45727</v>
      </c>
    </row>
    <row r="108" spans="1:5">
      <c r="A108" s="16" t="s">
        <v>13</v>
      </c>
      <c r="B108" s="16" t="s">
        <v>14</v>
      </c>
      <c r="C108" s="16">
        <v>1</v>
      </c>
      <c r="D108" s="16">
        <v>1</v>
      </c>
      <c r="E108" s="26">
        <v>45727</v>
      </c>
    </row>
    <row r="109" spans="1:5">
      <c r="A109" s="16" t="s">
        <v>7</v>
      </c>
      <c r="B109" s="16" t="s">
        <v>8</v>
      </c>
      <c r="C109" s="16">
        <v>1</v>
      </c>
      <c r="D109" s="16">
        <v>1</v>
      </c>
      <c r="E109" s="26">
        <v>45723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182B8-2A3D-4ABE-9CA9-741CFEDCB68C}">
  <sheetPr codeName="Hoja4"/>
  <dimension ref="A1:G85"/>
  <sheetViews>
    <sheetView workbookViewId="0">
      <selection activeCell="E24" sqref="E24"/>
    </sheetView>
  </sheetViews>
  <sheetFormatPr baseColWidth="10" defaultRowHeight="14.25"/>
  <cols>
    <col min="1" max="1" width="11.5" bestFit="1" customWidth="1"/>
    <col min="2" max="2" width="33.625" customWidth="1"/>
  </cols>
  <sheetData>
    <row r="1" spans="1:7">
      <c r="A1" s="15" t="s">
        <v>1</v>
      </c>
      <c r="B1" s="15" t="s">
        <v>2</v>
      </c>
      <c r="C1" s="15" t="s">
        <v>9</v>
      </c>
      <c r="D1" s="15" t="s">
        <v>10</v>
      </c>
      <c r="E1" s="15" t="s">
        <v>11</v>
      </c>
      <c r="F1" s="16"/>
      <c r="G1" s="16"/>
    </row>
    <row r="2" spans="1:7">
      <c r="A2" s="15" t="s">
        <v>121</v>
      </c>
      <c r="B2" s="15" t="str">
        <f>IFERROR(VLOOKUP(A2,ENTRADAS!A:C,2,0),"")</f>
        <v>Brochas cerda 165x58 MAX</v>
      </c>
      <c r="C2" s="15">
        <f>SUMIF(ENTRADAS!A:A,INVENTARIO!A2,ENTRADAS!C:C)</f>
        <v>60</v>
      </c>
      <c r="D2" s="15">
        <f>SUMIF(SALIDAS!A:A,INVENTARIO!A2,SALIDAS!C:C)</f>
        <v>18</v>
      </c>
      <c r="E2" s="15">
        <f>C2-D2</f>
        <v>42</v>
      </c>
      <c r="F2" s="16"/>
      <c r="G2" s="16"/>
    </row>
    <row r="3" spans="1:7">
      <c r="A3" s="15" t="s">
        <v>125</v>
      </c>
      <c r="B3" s="15" t="str">
        <f>IFERROR(VLOOKUP(A3,ENTRADAS!A:C,2,0),"")</f>
        <v>Brochas cerda 190x65 MAX</v>
      </c>
      <c r="C3" s="15">
        <f>SUMIF(ENTRADAS!A:A,INVENTARIO!A3,ENTRADAS!C:C)</f>
        <v>48</v>
      </c>
      <c r="D3" s="15">
        <f>SUMIF(SALIDAS!A:A,INVENTARIO!A3,SALIDAS!C:C)</f>
        <v>21</v>
      </c>
      <c r="E3" s="15">
        <f>C3-D3</f>
        <v>27</v>
      </c>
      <c r="F3" s="16"/>
      <c r="G3" s="16"/>
    </row>
    <row r="4" spans="1:7">
      <c r="A4" s="15" t="s">
        <v>352</v>
      </c>
      <c r="B4" s="15" t="str">
        <f>IFERROR(VLOOKUP(A4,ENTRADAS!A:C,2,0),"")</f>
        <v>Bota de goma N°42</v>
      </c>
      <c r="C4" s="15">
        <f>SUMIF(ENTRADAS!A:A,INVENTARIO!A4,ENTRADAS!C:C)</f>
        <v>5</v>
      </c>
      <c r="D4" s="15">
        <f>SUMIF(SALIDAS!A:A,INVENTARIO!A4,SALIDAS!C:C)</f>
        <v>1</v>
      </c>
      <c r="E4" s="15">
        <f t="shared" ref="E4:E12" si="0">C4-D4</f>
        <v>4</v>
      </c>
      <c r="F4" s="16"/>
      <c r="G4" s="16"/>
    </row>
    <row r="5" spans="1:7">
      <c r="A5" s="15" t="s">
        <v>100</v>
      </c>
      <c r="B5" s="15" t="str">
        <f>IFERROR(VLOOKUP(A5,ENTRADAS!A:C,2,0),"")</f>
        <v>Barniz x 4 lt.</v>
      </c>
      <c r="C5" s="15">
        <f>SUMIF(ENTRADAS!A:A,INVENTARIO!A5,ENTRADAS!C:C)</f>
        <v>9</v>
      </c>
      <c r="D5" s="15">
        <f>SUMIF(SALIDAS!A:A,INVENTARIO!A5,SALIDAS!C:C)</f>
        <v>1</v>
      </c>
      <c r="E5" s="15">
        <f t="shared" si="0"/>
        <v>8</v>
      </c>
      <c r="F5" s="16"/>
      <c r="G5" s="16"/>
    </row>
    <row r="6" spans="1:7">
      <c r="A6" s="15" t="s">
        <v>196</v>
      </c>
      <c r="B6" s="15" t="str">
        <f>IFERROR(VLOOKUP(A6,ENTRADAS!A:C,2,0),"")</f>
        <v>Balde de albañil PVC</v>
      </c>
      <c r="C6" s="15">
        <f>SUMIF(ENTRADAS!A:A,INVENTARIO!A6,ENTRADAS!C:C)</f>
        <v>120</v>
      </c>
      <c r="D6" s="15">
        <f>SUMIF(SALIDAS!A:A,INVENTARIO!A6,SALIDAS!C:C)</f>
        <v>37</v>
      </c>
      <c r="E6" s="15">
        <f t="shared" si="0"/>
        <v>83</v>
      </c>
      <c r="F6" s="16"/>
      <c r="G6" s="16"/>
    </row>
    <row r="7" spans="1:7">
      <c r="A7" s="15" t="s">
        <v>323</v>
      </c>
      <c r="B7" s="15" t="str">
        <f>IFERROR(VLOOKUP(A7,ENTRADAS!A:C,2,0),"")</f>
        <v xml:space="preserve">Asada metal 2,5 </v>
      </c>
      <c r="C7" s="15">
        <f>SUMIF(ENTRADAS!A:A,INVENTARIO!A7,ENTRADAS!C:C)</f>
        <v>15</v>
      </c>
      <c r="D7" s="15">
        <f>SUMIF(SALIDAS!A:A,INVENTARIO!A7,SALIDAS!C:C)</f>
        <v>6</v>
      </c>
      <c r="E7" s="15">
        <f t="shared" si="0"/>
        <v>9</v>
      </c>
      <c r="F7" s="16"/>
      <c r="G7" s="16"/>
    </row>
    <row r="8" spans="1:7">
      <c r="A8" s="15" t="s">
        <v>348</v>
      </c>
      <c r="B8" s="15" t="str">
        <f>IFERROR(VLOOKUP(A8,ENTRADAS!A:C,2,0),"")</f>
        <v>Angulo 1" 1/8</v>
      </c>
      <c r="C8" s="15">
        <f>SUMIF(ENTRADAS!A:A,INVENTARIO!A8,ENTRADAS!C:C)</f>
        <v>7</v>
      </c>
      <c r="D8" s="15">
        <f>SUMIF(SALIDAS!A:A,INVENTARIO!A8,SALIDAS!C:C)</f>
        <v>6</v>
      </c>
      <c r="E8" s="15">
        <f t="shared" si="0"/>
        <v>1</v>
      </c>
      <c r="F8" s="16"/>
      <c r="G8" s="16"/>
    </row>
    <row r="9" spans="1:7">
      <c r="A9" s="15" t="s">
        <v>38</v>
      </c>
      <c r="B9" s="15" t="str">
        <f>IFERROR(VLOOKUP(A9,ENTRADAS!A:C,2,0),"")</f>
        <v>Amoladora electrica  x180 mm</v>
      </c>
      <c r="C9" s="15">
        <f>SUMIF(ENTRADAS!A:A,INVENTARIO!A9,ENTRADAS!C:C)</f>
        <v>5</v>
      </c>
      <c r="D9" s="15">
        <f>SUMIF(SALIDAS!A:A,INVENTARIO!A9,SALIDAS!C:C)</f>
        <v>3</v>
      </c>
      <c r="E9" s="15">
        <f t="shared" si="0"/>
        <v>2</v>
      </c>
      <c r="F9" s="16"/>
      <c r="G9" s="16"/>
    </row>
    <row r="10" spans="1:7">
      <c r="A10" s="15" t="s">
        <v>37</v>
      </c>
      <c r="B10" s="15" t="str">
        <f>IFERROR(VLOOKUP(A10,ENTRADAS!A:C,2,0),"")</f>
        <v>Amoladora electrica  x125 mm</v>
      </c>
      <c r="C10" s="15">
        <f>SUMIF(ENTRADAS!A:A,INVENTARIO!A10,ENTRADAS!C:C)</f>
        <v>15</v>
      </c>
      <c r="D10" s="15">
        <f>SUMIF(SALIDAS!A:A,INVENTARIO!A10,SALIDAS!C:C)</f>
        <v>5</v>
      </c>
      <c r="E10" s="15">
        <f t="shared" si="0"/>
        <v>10</v>
      </c>
      <c r="F10" s="16"/>
      <c r="G10" s="16"/>
    </row>
    <row r="11" spans="1:7">
      <c r="A11" s="15" t="s">
        <v>36</v>
      </c>
      <c r="B11" s="15" t="str">
        <f>IFERROR(VLOOKUP(A11,ENTRADAS!A:C,2,0),"")</f>
        <v>Amoladora de banco 5" 125mm</v>
      </c>
      <c r="C11" s="15">
        <f>SUMIF(ENTRADAS!A:A,INVENTARIO!A11,ENTRADAS!C:C)</f>
        <v>8</v>
      </c>
      <c r="D11" s="15">
        <f>SUMIF(SALIDAS!A:A,INVENTARIO!A11,SALIDAS!C:C)</f>
        <v>1</v>
      </c>
      <c r="E11" s="15">
        <f t="shared" si="0"/>
        <v>7</v>
      </c>
      <c r="F11" s="16"/>
      <c r="G11" s="16"/>
    </row>
    <row r="12" spans="1:7">
      <c r="A12" s="15" t="s">
        <v>311</v>
      </c>
      <c r="B12" s="15" t="str">
        <f>IFERROR(VLOOKUP(A12,ENTRADAS!A:C,2,0),"")</f>
        <v>Alumbrado publico led 100w</v>
      </c>
      <c r="C12" s="15">
        <f>SUMIF(ENTRADAS!A:A,INVENTARIO!A12,ENTRADAS!C:C)</f>
        <v>200</v>
      </c>
      <c r="D12" s="15">
        <f>SUMIF(SALIDAS!A:A,INVENTARIO!A12,SALIDAS!C:C)</f>
        <v>10</v>
      </c>
      <c r="E12" s="15">
        <f t="shared" si="0"/>
        <v>190</v>
      </c>
      <c r="F12" s="16"/>
      <c r="G12" s="16"/>
    </row>
    <row r="13" spans="1:7">
      <c r="A13" s="15" t="s">
        <v>88</v>
      </c>
      <c r="B13" s="15" t="str">
        <f>IFERROR(VLOOKUP(A13,ENTRADAS!A:C,2,0),"")</f>
        <v>Destornillador  PLANO x 75mm</v>
      </c>
      <c r="C13" s="15">
        <f>SUMIF(ENTRADAS!A:A,INVENTARIO!A13,ENTRADAS!C:C)</f>
        <v>5</v>
      </c>
      <c r="D13" s="15">
        <f>SUMIF(SALIDAS!A:A,INVENTARIO!A13,SALIDAS!C:C)</f>
        <v>5</v>
      </c>
      <c r="E13" s="15">
        <f t="shared" ref="E13:E25" si="1">C13-D13</f>
        <v>0</v>
      </c>
      <c r="F13" s="16"/>
      <c r="G13" s="16"/>
    </row>
    <row r="14" spans="1:7">
      <c r="A14" s="15" t="s">
        <v>91</v>
      </c>
      <c r="B14" s="15" t="str">
        <f>IFERROR(VLOOKUP(A14,ENTRADAS!A:C,2,0),"")</f>
        <v>Destornillador  PLANO x 200mm</v>
      </c>
      <c r="C14" s="15">
        <f>SUMIF(ENTRADAS!A:A,INVENTARIO!A14,ENTRADAS!C:C)</f>
        <v>10</v>
      </c>
      <c r="D14" s="15">
        <f>SUMIF(SALIDAS!A:A,INVENTARIO!A14,SALIDAS!C:C)</f>
        <v>3</v>
      </c>
      <c r="E14" s="15">
        <f t="shared" si="1"/>
        <v>7</v>
      </c>
      <c r="F14" s="16"/>
      <c r="G14" s="16"/>
    </row>
    <row r="15" spans="1:7">
      <c r="A15" s="15" t="s">
        <v>90</v>
      </c>
      <c r="B15" s="15" t="str">
        <f>IFERROR(VLOOKUP(A15,ENTRADAS!A:C,2,0),"")</f>
        <v>Destornillador  PLANO x 150mm</v>
      </c>
      <c r="C15" s="15">
        <f>SUMIF(ENTRADAS!A:A,INVENTARIO!A15,ENTRADAS!C:C)</f>
        <v>8</v>
      </c>
      <c r="D15" s="15">
        <f>SUMIF(SALIDAS!A:A,INVENTARIO!A15,SALIDAS!C:C)</f>
        <v>3</v>
      </c>
      <c r="E15" s="15">
        <f t="shared" si="1"/>
        <v>5</v>
      </c>
      <c r="F15" s="16"/>
      <c r="G15" s="16"/>
    </row>
    <row r="16" spans="1:7">
      <c r="A16" s="15" t="s">
        <v>89</v>
      </c>
      <c r="B16" s="15" t="str">
        <f>IFERROR(VLOOKUP(A16,ENTRADAS!A:C,2,0),"")</f>
        <v>Destornillador  PLANO x 100mm</v>
      </c>
      <c r="C16" s="15">
        <f>SUMIF(ENTRADAS!A:A,INVENTARIO!A16,ENTRADAS!C:C)</f>
        <v>4</v>
      </c>
      <c r="D16" s="15">
        <f>SUMIF(SALIDAS!A:A,INVENTARIO!A16,SALIDAS!C:C)</f>
        <v>4</v>
      </c>
      <c r="E16" s="15">
        <f t="shared" si="1"/>
        <v>0</v>
      </c>
      <c r="F16" s="16"/>
      <c r="G16" s="16"/>
    </row>
    <row r="17" spans="1:7">
      <c r="A17" s="15" t="s">
        <v>80</v>
      </c>
      <c r="B17" s="15" t="str">
        <f>IFERROR(VLOOKUP(A17,ENTRADAS!A:C,2,0),"")</f>
        <v>Scaner de pared UT387</v>
      </c>
      <c r="C17" s="15">
        <f>SUMIF(ENTRADAS!A:A,INVENTARIO!A17,ENTRADAS!C:C)</f>
        <v>3</v>
      </c>
      <c r="D17" s="15">
        <f>SUMIF(SALIDAS!A:A,INVENTARIO!A17,SALIDAS!C:C)</f>
        <v>1</v>
      </c>
      <c r="E17" s="15">
        <f t="shared" si="1"/>
        <v>2</v>
      </c>
      <c r="F17" s="16"/>
      <c r="G17" s="16"/>
    </row>
    <row r="18" spans="1:7">
      <c r="A18" s="15" t="s">
        <v>321</v>
      </c>
      <c r="B18" s="15" t="str">
        <f>IFERROR(VLOOKUP(A18,ENTRADAS!A:C,2,0),"")</f>
        <v>Pares guantes caucho DIELEC.500v</v>
      </c>
      <c r="C18" s="15">
        <f>SUMIF(ENTRADAS!A:A,INVENTARIO!A18,ENTRADAS!C:C)</f>
        <v>30</v>
      </c>
      <c r="D18" s="15">
        <f>SUMIF(SALIDAS!A:A,INVENTARIO!A18,SALIDAS!C:C)</f>
        <v>19</v>
      </c>
      <c r="E18" s="15">
        <f t="shared" si="1"/>
        <v>11</v>
      </c>
      <c r="F18" s="16"/>
      <c r="G18" s="16"/>
    </row>
    <row r="19" spans="1:7">
      <c r="A19" s="15" t="s">
        <v>76</v>
      </c>
      <c r="B19" s="15" t="str">
        <f>IFERROR(VLOOKUP(A19,ENTRADAS!A:C,2,0),"")</f>
        <v>Taladro percutor a bateria 20V 13 mm</v>
      </c>
      <c r="C19" s="15">
        <f>SUMIF(ENTRADAS!A:A,INVENTARIO!A19,ENTRADAS!C:C)</f>
        <v>10</v>
      </c>
      <c r="D19" s="15">
        <f>SUMIF(SALIDAS!A:A,INVENTARIO!A19,SALIDAS!C:C)</f>
        <v>1</v>
      </c>
      <c r="E19" s="15">
        <f t="shared" si="1"/>
        <v>9</v>
      </c>
      <c r="F19" s="16"/>
      <c r="G19" s="16"/>
    </row>
    <row r="20" spans="1:7">
      <c r="A20" s="15" t="s">
        <v>75</v>
      </c>
      <c r="B20" s="15" t="str">
        <f>IFERROR(VLOOKUP(A20,ENTRADAS!A:C,2,0),"")</f>
        <v>Taladro electrico BOSCH 750W</v>
      </c>
      <c r="C20" s="15">
        <f>SUMIF(ENTRADAS!A:A,INVENTARIO!A20,ENTRADAS!C:C)</f>
        <v>5</v>
      </c>
      <c r="D20" s="15">
        <f>SUMIF(SALIDAS!A:A,INVENTARIO!A20,SALIDAS!C:C)</f>
        <v>1</v>
      </c>
      <c r="E20" s="15">
        <f t="shared" si="1"/>
        <v>4</v>
      </c>
      <c r="F20" s="16"/>
      <c r="G20" s="16"/>
    </row>
    <row r="21" spans="1:7">
      <c r="A21" s="15" t="s">
        <v>38</v>
      </c>
      <c r="B21" s="15" t="str">
        <f>IFERROR(VLOOKUP(A21,ENTRADAS!A:C,2,0),"")</f>
        <v>Amoladora electrica  x180 mm</v>
      </c>
      <c r="C21" s="15">
        <f>SUMIF(ENTRADAS!A:A,INVENTARIO!A21,ENTRADAS!C:C)</f>
        <v>5</v>
      </c>
      <c r="D21" s="15">
        <f>SUMIF(SALIDAS!A:A,INVENTARIO!A21,SALIDAS!C:C)</f>
        <v>3</v>
      </c>
      <c r="E21" s="15">
        <f t="shared" si="1"/>
        <v>2</v>
      </c>
      <c r="F21" s="16"/>
      <c r="G21" s="16"/>
    </row>
    <row r="22" spans="1:7">
      <c r="A22" s="15" t="s">
        <v>62</v>
      </c>
      <c r="B22" s="15" t="str">
        <f>IFERROR(VLOOKUP(A22,ENTRADAS!A:C,2,0),"")</f>
        <v>Martillo uña 21mm</v>
      </c>
      <c r="C22" s="15">
        <f>SUMIF(ENTRADAS!A:A,INVENTARIO!A22,ENTRADAS!C:C)</f>
        <v>30</v>
      </c>
      <c r="D22" s="15">
        <f>SUMIF(SALIDAS!A:A,INVENTARIO!A22,SALIDAS!C:C)</f>
        <v>1</v>
      </c>
      <c r="E22" s="15">
        <f t="shared" si="1"/>
        <v>29</v>
      </c>
      <c r="F22" s="16"/>
      <c r="G22" s="16"/>
    </row>
    <row r="23" spans="1:7">
      <c r="A23" s="15" t="s">
        <v>317</v>
      </c>
      <c r="B23" s="15" t="str">
        <f>IFERROR(VLOOKUP(A23,ENTRADAS!A:C,2,0),"")</f>
        <v>Corta hierro 3/4" - 12"</v>
      </c>
      <c r="C23" s="15">
        <f>SUMIF(ENTRADAS!A:A,INVENTARIO!A23,ENTRADAS!C:C)</f>
        <v>10</v>
      </c>
      <c r="D23" s="15">
        <f>SUMIF(SALIDAS!A:A,INVENTARIO!A23,SALIDAS!C:C)</f>
        <v>2</v>
      </c>
      <c r="E23" s="15">
        <f t="shared" si="1"/>
        <v>8</v>
      </c>
      <c r="F23" s="16"/>
      <c r="G23" s="16"/>
    </row>
    <row r="24" spans="1:7">
      <c r="A24" s="15" t="s">
        <v>251</v>
      </c>
      <c r="B24" s="15" t="str">
        <f>IFERROR(VLOOKUP(A24,ENTRADAS!A:C,2,0),"")</f>
        <v>Pinza de corte 6"</v>
      </c>
      <c r="C24" s="15">
        <f>SUMIF(ENTRADAS!A:A,INVENTARIO!A24,ENTRADAS!C:C)</f>
        <v>5</v>
      </c>
      <c r="D24" s="15">
        <f>SUMIF(SALIDAS!A:A,INVENTARIO!A24,SALIDAS!C:C)</f>
        <v>5</v>
      </c>
      <c r="E24" s="15">
        <f t="shared" si="1"/>
        <v>0</v>
      </c>
      <c r="F24" s="16"/>
      <c r="G24" s="16"/>
    </row>
    <row r="25" spans="1:7">
      <c r="A25" s="15" t="s">
        <v>32</v>
      </c>
      <c r="B25" s="15" t="str">
        <f>IFERROR(VLOOKUP(A25,ENTRADAS!A:C,2,0),"")</f>
        <v>Pinza de corte 8"</v>
      </c>
      <c r="C25" s="15">
        <f>SUMIF(ENTRADAS!A:A,INVENTARIO!A25,ENTRADAS!C:C)</f>
        <v>30</v>
      </c>
      <c r="D25" s="15">
        <f>SUMIF(SALIDAS!A:A,INVENTARIO!A25,SALIDAS!C:C)</f>
        <v>10</v>
      </c>
      <c r="E25" s="15">
        <f t="shared" si="1"/>
        <v>20</v>
      </c>
      <c r="F25" s="16"/>
      <c r="G25" s="16"/>
    </row>
    <row r="26" spans="1:7">
      <c r="A26" s="15" t="s">
        <v>84</v>
      </c>
      <c r="B26" s="15" t="str">
        <f>IFERROR(VLOOKUP(A26,ENTRADAS!A:C,2,0),"")</f>
        <v>Destornillador  PHILIP x 75mm</v>
      </c>
      <c r="C26" s="15">
        <f>SUMIF(ENTRADAS!A:A,INVENTARIO!A26,ENTRADAS!C:C)</f>
        <v>16</v>
      </c>
      <c r="D26" s="15">
        <f>SUMIF(SALIDAS!A:A,INVENTARIO!A26,SALIDAS!C:C)</f>
        <v>9</v>
      </c>
      <c r="E26" s="15">
        <f t="shared" ref="E26:E35" si="2">C26-D26</f>
        <v>7</v>
      </c>
      <c r="F26" s="16"/>
      <c r="G26" s="16"/>
    </row>
    <row r="27" spans="1:7">
      <c r="A27" s="15" t="s">
        <v>35</v>
      </c>
      <c r="B27" s="15" t="str">
        <f>IFERROR(VLOOKUP(A27,ENTRADAS!A:C,2,0),"")</f>
        <v>Buscapolos digital 12-250V</v>
      </c>
      <c r="C27" s="15">
        <f>SUMIF(ENTRADAS!A:A,INVENTARIO!A27,ENTRADAS!C:C)</f>
        <v>30</v>
      </c>
      <c r="D27" s="15">
        <f>SUMIF(SALIDAS!A:A,INVENTARIO!A27,SALIDAS!C:C)</f>
        <v>20</v>
      </c>
      <c r="E27" s="15">
        <f t="shared" si="2"/>
        <v>10</v>
      </c>
      <c r="F27" s="16"/>
      <c r="G27" s="16"/>
    </row>
    <row r="28" spans="1:7">
      <c r="A28" s="15" t="s">
        <v>34</v>
      </c>
      <c r="B28" s="15" t="str">
        <f>IFERROR(VLOOKUP(A28,ENTRADAS!A:C,2,0),"")</f>
        <v>Detector de voltaje digital 90-1000v</v>
      </c>
      <c r="C28" s="15">
        <f>SUMIF(ENTRADAS!A:A,INVENTARIO!A28,ENTRADAS!C:C)</f>
        <v>10</v>
      </c>
      <c r="D28" s="15">
        <f>SUMIF(SALIDAS!A:A,INVENTARIO!A28,SALIDAS!C:C)</f>
        <v>10</v>
      </c>
      <c r="E28" s="15">
        <f t="shared" si="2"/>
        <v>0</v>
      </c>
      <c r="F28" s="16"/>
      <c r="G28" s="16"/>
    </row>
    <row r="29" spans="1:7">
      <c r="A29" s="15" t="s">
        <v>65</v>
      </c>
      <c r="B29" s="15" t="str">
        <f>IFERROR(VLOOKUP(A29,ENTRADAS!A:C,2,0),"")</f>
        <v>Pinza punta fina 8"</v>
      </c>
      <c r="C29" s="15">
        <f>SUMIF(ENTRADAS!A:A,INVENTARIO!A29,ENTRADAS!C:C)</f>
        <v>30</v>
      </c>
      <c r="D29" s="15">
        <f>SUMIF(SALIDAS!A:A,INVENTARIO!A29,SALIDAS!C:C)</f>
        <v>10</v>
      </c>
      <c r="E29" s="15">
        <f t="shared" si="2"/>
        <v>20</v>
      </c>
      <c r="F29" s="16"/>
      <c r="G29" s="16"/>
    </row>
    <row r="30" spans="1:7">
      <c r="A30" s="15" t="s">
        <v>63</v>
      </c>
      <c r="B30" s="15" t="str">
        <f>IFERROR(VLOOKUP(A30,ENTRADAS!A:C,2,0),"")</f>
        <v>Pinza universal FURZA 8"</v>
      </c>
      <c r="C30" s="15">
        <f>SUMIF(ENTRADAS!A:A,INVENTARIO!A30,ENTRADAS!C:C)</f>
        <v>30</v>
      </c>
      <c r="D30" s="15">
        <f>SUMIF(SALIDAS!A:A,INVENTARIO!A30,SALIDAS!C:C)</f>
        <v>10</v>
      </c>
      <c r="E30" s="15">
        <f t="shared" si="2"/>
        <v>20</v>
      </c>
      <c r="F30" s="16"/>
      <c r="G30" s="16"/>
    </row>
    <row r="31" spans="1:7">
      <c r="A31" s="15" t="s">
        <v>268</v>
      </c>
      <c r="B31" s="15" t="str">
        <f>IFERROR(VLOOKUP(A31,ENTRADAS!A:C,2,0),"")</f>
        <v>Cabezal manual motoguad.</v>
      </c>
      <c r="C31" s="15">
        <f>SUMIF(ENTRADAS!A:A,INVENTARIO!A31,ENTRADAS!C:C)</f>
        <v>394</v>
      </c>
      <c r="D31" s="15">
        <f>SUMIF(SALIDAS!A:A,INVENTARIO!A31,SALIDAS!C:C)</f>
        <v>3</v>
      </c>
      <c r="E31" s="15">
        <f t="shared" si="2"/>
        <v>391</v>
      </c>
      <c r="F31" s="16"/>
      <c r="G31" s="16"/>
    </row>
    <row r="32" spans="1:7">
      <c r="A32" s="15" t="s">
        <v>147</v>
      </c>
      <c r="B32" s="15" t="str">
        <f>IFERROR(VLOOKUP(A32,ENTRADAS!A:C,2,0),"")</f>
        <v>Electrodo 2.5  E6013</v>
      </c>
      <c r="C32" s="15">
        <f>SUMIF(ENTRADAS!A:A,INVENTARIO!A32,ENTRADAS!C:C)</f>
        <v>0</v>
      </c>
      <c r="D32" s="15">
        <f>SUMIF(SALIDAS!A:A,INVENTARIO!A32,SALIDAS!C:C)</f>
        <v>0</v>
      </c>
      <c r="E32" s="15">
        <f t="shared" si="2"/>
        <v>0</v>
      </c>
      <c r="F32" s="16"/>
      <c r="G32" s="16"/>
    </row>
    <row r="33" spans="1:7">
      <c r="A33" s="15" t="s">
        <v>55</v>
      </c>
      <c r="B33" s="15" t="str">
        <f>IFERROR(VLOOKUP(A33,ENTRADAS!A:C,2,0),"")</f>
        <v>Juego de llave ALEN 9 PZS 1.5 - 10 mm</v>
      </c>
      <c r="C33" s="15">
        <f>SUMIF(ENTRADAS!A:A,INVENTARIO!A33,ENTRADAS!C:C)</f>
        <v>2</v>
      </c>
      <c r="D33" s="15">
        <f>SUMIF(SALIDAS!A:A,INVENTARIO!A33,SALIDAS!C:C)</f>
        <v>1</v>
      </c>
      <c r="E33" s="15">
        <f t="shared" si="2"/>
        <v>1</v>
      </c>
      <c r="F33" s="16"/>
      <c r="G33" s="16"/>
    </row>
    <row r="34" spans="1:7">
      <c r="A34" s="15" t="s">
        <v>220</v>
      </c>
      <c r="B34" s="15" t="str">
        <f>IFERROR(VLOOKUP(A34,ENTRADAS!A:C,2,0),"")</f>
        <v>Caño cloacal PVC x100</v>
      </c>
      <c r="C34" s="15">
        <f>SUMIF(ENTRADAS!A:A,INVENTARIO!A34,ENTRADAS!C:C)</f>
        <v>20</v>
      </c>
      <c r="D34" s="15">
        <f>SUMIF(SALIDAS!A:A,INVENTARIO!A34,SALIDAS!C:C)</f>
        <v>9</v>
      </c>
      <c r="E34" s="15">
        <f t="shared" si="2"/>
        <v>11</v>
      </c>
      <c r="F34" s="16"/>
      <c r="G34" s="16"/>
    </row>
    <row r="35" spans="1:7">
      <c r="A35" s="15" t="s">
        <v>188</v>
      </c>
      <c r="B35" s="15" t="str">
        <f>IFERROR(VLOOKUP(A35,ENTRADAS!A:C,2,0),"")</f>
        <v>Anti parras transparente</v>
      </c>
      <c r="C35" s="15">
        <f>SUMIF(ENTRADAS!A:A,INVENTARIO!A35,ENTRADAS!C:C)</f>
        <v>297</v>
      </c>
      <c r="D35" s="15">
        <f>SUMIF(SALIDAS!A:A,INVENTARIO!A35,SALIDAS!C:C)</f>
        <v>77</v>
      </c>
      <c r="E35" s="15">
        <f t="shared" si="2"/>
        <v>220</v>
      </c>
      <c r="F35" s="16"/>
      <c r="G35" s="16"/>
    </row>
    <row r="36" spans="1:7">
      <c r="A36" s="15" t="s">
        <v>209</v>
      </c>
      <c r="B36" s="15" t="str">
        <f>IFERROR(VLOOKUP(A36,ENTRADAS!A:C,2,0),"")</f>
        <v>Rollo Caño negro 1/2 para agua x 50 mts</v>
      </c>
      <c r="C36" s="15">
        <f>SUMIF(ENTRADAS!A:A,INVENTARIO!A36,ENTRADAS!C:C)</f>
        <v>20</v>
      </c>
      <c r="D36" s="15">
        <f>SUMIF(SALIDAS!A:A,INVENTARIO!A36,SALIDAS!C:C)</f>
        <v>1</v>
      </c>
      <c r="E36" s="15">
        <f t="shared" ref="E36:E41" si="3">C36-D36</f>
        <v>19</v>
      </c>
      <c r="F36" s="16"/>
      <c r="G36" s="16"/>
    </row>
    <row r="37" spans="1:7">
      <c r="A37" s="15" t="s">
        <v>58</v>
      </c>
      <c r="B37" s="15" t="str">
        <f>IFERROR(VLOOKUP(A37,ENTRADAS!A:C,2,0),"")</f>
        <v>Juego de llave Conbinada 17 pzs.6a22mm</v>
      </c>
      <c r="C37" s="15">
        <f>SUMIF(ENTRADAS!A:A,INVENTARIO!A37,ENTRADAS!C:C)</f>
        <v>7</v>
      </c>
      <c r="D37" s="15">
        <f>SUMIF(SALIDAS!A:A,INVENTARIO!A37,SALIDAS!C:C)</f>
        <v>1</v>
      </c>
      <c r="E37" s="15">
        <f t="shared" si="3"/>
        <v>6</v>
      </c>
      <c r="F37" s="16"/>
      <c r="G37" s="16"/>
    </row>
    <row r="38" spans="1:7">
      <c r="A38" s="15" t="s">
        <v>25</v>
      </c>
      <c r="B38" s="15" t="str">
        <f>IFERROR(VLOOKUP(A38,ENTRADAS!A:C,2,0),"")</f>
        <v>Lampara Led 100W</v>
      </c>
      <c r="C38" s="15">
        <f>SUMIF(ENTRADAS!A:A,INVENTARIO!A38,ENTRADAS!C:C)</f>
        <v>450</v>
      </c>
      <c r="D38" s="15">
        <f>SUMIF(SALIDAS!A:A,INVENTARIO!A38,SALIDAS!C:C)</f>
        <v>100</v>
      </c>
      <c r="E38" s="15">
        <f t="shared" si="3"/>
        <v>350</v>
      </c>
      <c r="F38" s="16"/>
      <c r="G38" s="16"/>
    </row>
    <row r="39" spans="1:7">
      <c r="A39" s="15" t="s">
        <v>292</v>
      </c>
      <c r="B39" s="15" t="str">
        <f>IFERROR(VLOOKUP(A39,ENTRADAS!A:C,2,0),"")</f>
        <v>Pares Bota caña larga PVC N°39</v>
      </c>
      <c r="C39" s="15">
        <f>SUMIF(ENTRADAS!A:A,INVENTARIO!A39,ENTRADAS!C:C)</f>
        <v>3</v>
      </c>
      <c r="D39" s="15">
        <f>SUMIF(SALIDAS!A:A,INVENTARIO!A39,SALIDAS!C:C)</f>
        <v>1</v>
      </c>
      <c r="E39" s="15">
        <f t="shared" si="3"/>
        <v>2</v>
      </c>
      <c r="F39" s="16"/>
      <c r="G39" s="16"/>
    </row>
    <row r="40" spans="1:7">
      <c r="A40" s="15" t="s">
        <v>291</v>
      </c>
      <c r="B40" s="15" t="str">
        <f>IFERROR(VLOOKUP(A40,ENTRADAS!A:C,2,0),"")</f>
        <v>Pares Bota caña larga PVC N°38</v>
      </c>
      <c r="C40" s="15">
        <f>SUMIF(ENTRADAS!A:A,INVENTARIO!A40,ENTRADAS!C:C)</f>
        <v>3</v>
      </c>
      <c r="D40" s="15">
        <f>SUMIF(SALIDAS!A:A,INVENTARIO!A40,SALIDAS!C:C)</f>
        <v>1</v>
      </c>
      <c r="E40" s="15">
        <f t="shared" si="3"/>
        <v>2</v>
      </c>
      <c r="F40" s="16"/>
      <c r="G40" s="16"/>
    </row>
    <row r="41" spans="1:7">
      <c r="A41" s="15" t="s">
        <v>290</v>
      </c>
      <c r="B41" s="15" t="str">
        <f>IFERROR(VLOOKUP(A41,ENTRADAS!A:C,2,0),"")</f>
        <v>Pares Bota caña larga PVC N°37</v>
      </c>
      <c r="C41" s="15">
        <f>SUMIF(ENTRADAS!A:A,INVENTARIO!A41,ENTRADAS!C:C)</f>
        <v>5</v>
      </c>
      <c r="D41" s="15">
        <f>SUMIF(SALIDAS!A:A,INVENTARIO!A41,SALIDAS!C:C)</f>
        <v>1</v>
      </c>
      <c r="E41" s="15">
        <f t="shared" si="3"/>
        <v>4</v>
      </c>
      <c r="F41" s="16"/>
      <c r="G41" s="16"/>
    </row>
    <row r="42" spans="1:7">
      <c r="A42" s="15" t="s">
        <v>200</v>
      </c>
      <c r="B42" s="15" t="str">
        <f>IFERROR(VLOOKUP(A42,ENTRADAS!A:C,2,0),"")</f>
        <v>Pala punta mango metal</v>
      </c>
      <c r="C42" s="15">
        <f>SUMIF(ENTRADAS!A:A,INVENTARIO!A42,ENTRADAS!C:C)</f>
        <v>42</v>
      </c>
      <c r="D42" s="15">
        <f>SUMIF(SALIDAS!A:A,INVENTARIO!A42,SALIDAS!C:C)</f>
        <v>4</v>
      </c>
      <c r="E42" s="15">
        <f t="shared" ref="E42:E50" si="4">C42-D42</f>
        <v>38</v>
      </c>
      <c r="F42" s="16"/>
      <c r="G42" s="16"/>
    </row>
    <row r="43" spans="1:7">
      <c r="A43" s="15" t="s">
        <v>198</v>
      </c>
      <c r="B43" s="15" t="str">
        <f>IFERROR(VLOOKUP(A43,ENTRADAS!A:C,2,0),"")</f>
        <v>Pala ancha mango metal</v>
      </c>
      <c r="C43" s="15">
        <f>SUMIF(ENTRADAS!A:A,INVENTARIO!A43,ENTRADAS!C:C)</f>
        <v>38</v>
      </c>
      <c r="D43" s="15">
        <f>SUMIF(SALIDAS!A:A,INVENTARIO!A43,SALIDAS!C:C)</f>
        <v>5</v>
      </c>
      <c r="E43" s="15">
        <f t="shared" si="4"/>
        <v>33</v>
      </c>
      <c r="F43" s="16"/>
      <c r="G43" s="16"/>
    </row>
    <row r="44" spans="1:7">
      <c r="A44" s="15" t="s">
        <v>313</v>
      </c>
      <c r="B44" s="15" t="str">
        <f>IFERROR(VLOOKUP(A44,ENTRADAS!A:C,2,0),"")</f>
        <v>Pares guantes DESCARNE</v>
      </c>
      <c r="C44" s="15">
        <f>SUMIF(ENTRADAS!A:A,INVENTARIO!A44,ENTRADAS!C:C)</f>
        <v>1000</v>
      </c>
      <c r="D44" s="15">
        <f>SUMIF(SALIDAS!A:A,INVENTARIO!A44,SALIDAS!C:C)</f>
        <v>37</v>
      </c>
      <c r="E44" s="15">
        <f t="shared" si="4"/>
        <v>963</v>
      </c>
      <c r="F44" s="16"/>
      <c r="G44" s="16"/>
    </row>
    <row r="45" spans="1:7">
      <c r="A45" s="15" t="s">
        <v>312</v>
      </c>
      <c r="B45" s="15" t="str">
        <f>IFERROR(VLOOKUP(A45,ENTRADAS!A:C,2,0),"")</f>
        <v>Alumbrado publico led 150w</v>
      </c>
      <c r="C45" s="15">
        <f>SUMIF(ENTRADAS!A:A,INVENTARIO!A45,ENTRADAS!C:C)</f>
        <v>300</v>
      </c>
      <c r="D45" s="15">
        <f>SUMIF(SALIDAS!A:A,INVENTARIO!A45,SALIDAS!C:C)</f>
        <v>92</v>
      </c>
      <c r="E45" s="15">
        <f t="shared" si="4"/>
        <v>208</v>
      </c>
      <c r="F45" s="16"/>
      <c r="G45" s="16"/>
    </row>
    <row r="46" spans="1:7">
      <c r="A46" s="15" t="s">
        <v>310</v>
      </c>
      <c r="B46" s="15" t="str">
        <f>IFERROR(VLOOKUP(A46,ENTRADAS!A:C,2,0),"")</f>
        <v>Farola iluminacion tipo pionero c/brazo corto</v>
      </c>
      <c r="C46" s="15">
        <f>SUMIF(ENTRADAS!A:A,INVENTARIO!A46,ENTRADAS!C:C)</f>
        <v>300</v>
      </c>
      <c r="D46" s="15">
        <f>SUMIF(SALIDAS!A:A,INVENTARIO!A46,SALIDAS!C:C)</f>
        <v>50</v>
      </c>
      <c r="E46" s="15">
        <f t="shared" si="4"/>
        <v>250</v>
      </c>
      <c r="F46" s="16"/>
      <c r="G46" s="16"/>
    </row>
    <row r="47" spans="1:7">
      <c r="A47" s="15" t="s">
        <v>266</v>
      </c>
      <c r="B47" s="15" t="str">
        <f>IFERROR(VLOOKUP(A47,ENTRADAS!A:C,2,0),"")</f>
        <v>Cabezal STIHL 46-2 motoguad.STIHL280</v>
      </c>
      <c r="C47" s="15">
        <f>SUMIF(ENTRADAS!A:A,INVENTARIO!A47,ENTRADAS!C:C)</f>
        <v>3</v>
      </c>
      <c r="D47" s="15">
        <f>SUMIF(SALIDAS!A:A,INVENTARIO!A47,SALIDAS!C:C)</f>
        <v>3</v>
      </c>
      <c r="E47" s="15">
        <f t="shared" si="4"/>
        <v>0</v>
      </c>
      <c r="F47" s="16"/>
      <c r="G47" s="16"/>
    </row>
    <row r="48" spans="1:7">
      <c r="A48" s="15" t="s">
        <v>265</v>
      </c>
      <c r="B48" s="15" t="str">
        <f>IFERROR(VLOOKUP(A48,ENTRADAS!A:C,2,0),"")</f>
        <v>Cabezal STIHL C32-2 motoguad.STIHL235</v>
      </c>
      <c r="C48" s="15">
        <f>SUMIF(ENTRADAS!A:A,INVENTARIO!A48,ENTRADAS!C:C)</f>
        <v>4</v>
      </c>
      <c r="D48" s="15">
        <f>SUMIF(SALIDAS!A:A,INVENTARIO!A48,SALIDAS!C:C)</f>
        <v>4</v>
      </c>
      <c r="E48" s="15">
        <f t="shared" si="4"/>
        <v>0</v>
      </c>
      <c r="F48" s="16"/>
      <c r="G48" s="16"/>
    </row>
    <row r="49" spans="1:7">
      <c r="A49" s="15" t="s">
        <v>282</v>
      </c>
      <c r="B49" s="15" t="str">
        <f>IFERROR(VLOOKUP(A49,ENTRADAS!A:C,2,0),"")</f>
        <v>Caño estructural 20x20</v>
      </c>
      <c r="C49" s="15">
        <f>SUMIF(ENTRADAS!A:A,INVENTARIO!A49,ENTRADAS!C:C)</f>
        <v>44</v>
      </c>
      <c r="D49" s="15">
        <f>SUMIF(SALIDAS!A:A,INVENTARIO!A49,SALIDAS!C:C)</f>
        <v>30</v>
      </c>
      <c r="E49" s="15">
        <f t="shared" si="4"/>
        <v>14</v>
      </c>
      <c r="F49" s="16"/>
      <c r="G49" s="16"/>
    </row>
    <row r="50" spans="1:7">
      <c r="A50" s="15" t="s">
        <v>266</v>
      </c>
      <c r="B50" s="15" t="str">
        <f>IFERROR(VLOOKUP(A50,ENTRADAS!A:C,2,0),"")</f>
        <v>Cabezal STIHL 46-2 motoguad.STIHL280</v>
      </c>
      <c r="C50" s="15">
        <f>SUMIF(ENTRADAS!A:A,INVENTARIO!A50,ENTRADAS!C:C)</f>
        <v>3</v>
      </c>
      <c r="D50" s="15">
        <f>SUMIF(SALIDAS!A:A,INVENTARIO!A50,SALIDAS!C:C)</f>
        <v>3</v>
      </c>
      <c r="E50" s="15">
        <f t="shared" si="4"/>
        <v>0</v>
      </c>
      <c r="F50" s="16"/>
      <c r="G50" s="16"/>
    </row>
    <row r="51" spans="1:7">
      <c r="A51" s="15" t="s">
        <v>212</v>
      </c>
      <c r="B51" s="15" t="str">
        <f>IFERROR(VLOOKUP(A51,ENTRADAS!A:C,2,0),"")</f>
        <v>Rollo Caño negro 3/4 para agua x 50 mts</v>
      </c>
      <c r="C51" s="15">
        <f>SUMIF(ENTRADAS!A:A,INVENTARIO!A51,ENTRADAS!C:C)</f>
        <v>18</v>
      </c>
      <c r="D51" s="15">
        <f>SUMIF(SALIDAS!A:A,INVENTARIO!A51,SALIDAS!C:C)</f>
        <v>1</v>
      </c>
      <c r="E51" s="15">
        <f t="shared" ref="E51:E57" si="5">C51-D51</f>
        <v>17</v>
      </c>
      <c r="F51" s="16"/>
      <c r="G51" s="16"/>
    </row>
    <row r="52" spans="1:7">
      <c r="A52" s="15" t="s">
        <v>192</v>
      </c>
      <c r="B52" s="15" t="str">
        <f>IFERROR(VLOOKUP(A52,ENTRADAS!A:C,2,0),"")</f>
        <v>Pares guantes de hilo</v>
      </c>
      <c r="C52" s="15">
        <f>SUMIF(ENTRADAS!A:A,INVENTARIO!A52,ENTRADAS!C:C)</f>
        <v>2054</v>
      </c>
      <c r="D52" s="15">
        <f>SUMIF(SALIDAS!A:A,INVENTARIO!A52,SALIDAS!C:C)</f>
        <v>195</v>
      </c>
      <c r="E52" s="15">
        <f t="shared" si="5"/>
        <v>1859</v>
      </c>
      <c r="F52" s="16"/>
      <c r="G52" s="16"/>
    </row>
    <row r="53" spans="1:7">
      <c r="A53" s="15" t="s">
        <v>194</v>
      </c>
      <c r="B53" s="15" t="str">
        <f>IFERROR(VLOOKUP(A53,ENTRADAS!A:C,2,0),"")</f>
        <v>Pares guantes LATEX uso industrial</v>
      </c>
      <c r="C53" s="15">
        <f>SUMIF(ENTRADAS!A:A,INVENTARIO!A53,ENTRADAS!C:C)</f>
        <v>150</v>
      </c>
      <c r="D53" s="15">
        <f>SUMIF(SALIDAS!A:A,INVENTARIO!A53,SALIDAS!C:C)</f>
        <v>15</v>
      </c>
      <c r="E53" s="15">
        <f t="shared" si="5"/>
        <v>135</v>
      </c>
      <c r="F53" s="16"/>
      <c r="G53" s="16"/>
    </row>
    <row r="54" spans="1:7">
      <c r="A54" s="15" t="s">
        <v>133</v>
      </c>
      <c r="B54" s="15" t="str">
        <f>IFERROR(VLOOKUP(A54,ENTRADAS!A:C,2,0),"")</f>
        <v>Pincel cerda 11/2</v>
      </c>
      <c r="C54" s="15">
        <f>SUMIF(ENTRADAS!A:A,INVENTARIO!A54,ENTRADAS!C:C)</f>
        <v>12</v>
      </c>
      <c r="D54" s="15">
        <f>SUMIF(SALIDAS!A:A,INVENTARIO!A54,SALIDAS!C:C)</f>
        <v>1</v>
      </c>
      <c r="E54" s="15">
        <f t="shared" si="5"/>
        <v>11</v>
      </c>
      <c r="F54" s="16"/>
      <c r="G54" s="16"/>
    </row>
    <row r="55" spans="1:7">
      <c r="A55" s="15" t="s">
        <v>121</v>
      </c>
      <c r="B55" s="15" t="str">
        <f>IFERROR(VLOOKUP(A55,ENTRADAS!A:C,2,0),"")</f>
        <v>Brochas cerda 165x58 MAX</v>
      </c>
      <c r="C55" s="15">
        <f>SUMIF(ENTRADAS!A:A,INVENTARIO!A55,ENTRADAS!C:C)</f>
        <v>60</v>
      </c>
      <c r="D55" s="15">
        <f>SUMIF(SALIDAS!A:A,INVENTARIO!A55,SALIDAS!C:C)</f>
        <v>18</v>
      </c>
      <c r="E55" s="15">
        <f t="shared" si="5"/>
        <v>42</v>
      </c>
      <c r="F55" s="16"/>
      <c r="G55" s="16"/>
    </row>
    <row r="56" spans="1:7">
      <c r="A56" s="15" t="s">
        <v>111</v>
      </c>
      <c r="B56" s="15" t="str">
        <f>IFERROR(VLOOKUP(A56,ENTRADAS!A:C,2,0),"")</f>
        <v>Pinura sintetica x 1lt. NEGRO</v>
      </c>
      <c r="C56" s="15">
        <f>SUMIF(ENTRADAS!A:A,INVENTARIO!A56,ENTRADAS!C:C)</f>
        <v>30</v>
      </c>
      <c r="D56" s="15">
        <f>SUMIF(SALIDAS!A:A,INVENTARIO!A56,SALIDAS!C:C)</f>
        <v>4</v>
      </c>
      <c r="E56" s="15">
        <f t="shared" si="5"/>
        <v>26</v>
      </c>
      <c r="F56" s="16"/>
      <c r="G56" s="16"/>
    </row>
    <row r="57" spans="1:7">
      <c r="A57" s="15" t="s">
        <v>119</v>
      </c>
      <c r="B57" s="15" t="str">
        <f>IFERROR(VLOOKUP(A57,ENTRADAS!A:C,2,0),"")</f>
        <v>Machete BELLOTA 31-22 RM</v>
      </c>
      <c r="C57" s="15">
        <f>SUMIF(ENTRADAS!A:A,INVENTARIO!A57,ENTRADAS!C:C)</f>
        <v>44</v>
      </c>
      <c r="D57" s="15">
        <f>SUMIF(SALIDAS!A:A,INVENTARIO!A57,SALIDAS!C:C)</f>
        <v>4</v>
      </c>
      <c r="E57" s="15">
        <f t="shared" si="5"/>
        <v>40</v>
      </c>
      <c r="F57" s="16"/>
      <c r="G57" s="16"/>
    </row>
    <row r="58" spans="1:7">
      <c r="A58" s="15" t="s">
        <v>117</v>
      </c>
      <c r="B58" s="15" t="str">
        <f>IFERROR(VLOOKUP(A58,ENTRADAS!A:C,2,0),"")</f>
        <v>Rollo tanza x3 x1k red.LONYL x130 mts.</v>
      </c>
      <c r="C58" s="15">
        <f>SUMIF(ENTRADAS!A:A,INVENTARIO!A58,ENTRADAS!C:C)</f>
        <v>57</v>
      </c>
      <c r="D58" s="15">
        <f>SUMIF(SALIDAS!A:A,INVENTARIO!A58,SALIDAS!C:C)</f>
        <v>17</v>
      </c>
      <c r="E58" s="15">
        <f t="shared" ref="E58:E63" si="6">C58-D58</f>
        <v>40</v>
      </c>
      <c r="F58" s="16"/>
      <c r="G58" s="16"/>
    </row>
    <row r="59" spans="1:7">
      <c r="A59" s="15" t="s">
        <v>109</v>
      </c>
      <c r="B59" s="15" t="str">
        <f>IFERROR(VLOOKUP(A59,ENTRADAS!A:C,2,0),"")</f>
        <v>Thinner x 1 lt.</v>
      </c>
      <c r="C59" s="15">
        <f>SUMIF(ENTRADAS!A:A,INVENTARIO!A59,ENTRADAS!C:C)</f>
        <v>60</v>
      </c>
      <c r="D59" s="15">
        <f>SUMIF(SALIDAS!A:A,INVENTARIO!A59,SALIDAS!C:C)</f>
        <v>2</v>
      </c>
      <c r="E59" s="15">
        <f t="shared" si="6"/>
        <v>58</v>
      </c>
      <c r="F59" s="16"/>
      <c r="G59" s="16"/>
    </row>
    <row r="60" spans="1:7">
      <c r="A60" s="15" t="s">
        <v>61</v>
      </c>
      <c r="B60" s="15" t="str">
        <f>IFERROR(VLOOKUP(A60,ENTRADAS!A:C,2,0),"")</f>
        <v>Martillo tipo MAZO x1k</v>
      </c>
      <c r="C60" s="15">
        <f>SUMIF(ENTRADAS!A:A,INVENTARIO!A60,ENTRADAS!C:C)</f>
        <v>20</v>
      </c>
      <c r="D60" s="15">
        <f>SUMIF(SALIDAS!A:A,INVENTARIO!A60,SALIDAS!C:C)</f>
        <v>4</v>
      </c>
      <c r="E60" s="15">
        <f t="shared" si="6"/>
        <v>16</v>
      </c>
      <c r="F60" s="16"/>
      <c r="G60" s="16"/>
    </row>
    <row r="61" spans="1:7">
      <c r="A61" s="15" t="s">
        <v>19</v>
      </c>
      <c r="B61" s="15" t="str">
        <f>IFERROR(VLOOKUP(A61,ENTRADAS!A:C,2,0),"")</f>
        <v>Soplador STIHL SH86</v>
      </c>
      <c r="C61" s="15">
        <f>SUMIF(ENTRADAS!A:A,INVENTARIO!A61,ENTRADAS!C:C)</f>
        <v>10</v>
      </c>
      <c r="D61" s="15">
        <f>SUMIF(SALIDAS!A:A,INVENTARIO!A61,SALIDAS!C:C)</f>
        <v>1</v>
      </c>
      <c r="E61" s="15">
        <f t="shared" si="6"/>
        <v>9</v>
      </c>
      <c r="F61" s="16"/>
      <c r="G61" s="16"/>
    </row>
    <row r="62" spans="1:7">
      <c r="A62" s="27" t="s">
        <v>13</v>
      </c>
      <c r="B62" s="15" t="str">
        <f>IFERROR(VLOOKUP(A62,ENTRADAS!A:C,2,0),"")</f>
        <v>Rollo tanza x3 x1k cuad.LUSQTOFF</v>
      </c>
      <c r="C62" s="15">
        <f>SUMIF(ENTRADAS!A:A,INVENTARIO!A62,ENTRADAS!C:C)</f>
        <v>50</v>
      </c>
      <c r="D62" s="15">
        <f>SUMIF(SALIDAS!A:A,INVENTARIO!A62,SALIDAS!C:C)</f>
        <v>1</v>
      </c>
      <c r="E62" s="15">
        <f t="shared" si="6"/>
        <v>49</v>
      </c>
      <c r="F62" s="16"/>
      <c r="G62" s="16"/>
    </row>
    <row r="63" spans="1:7">
      <c r="A63" s="21" t="s">
        <v>7</v>
      </c>
      <c r="B63" s="15" t="str">
        <f>IFERROR(VLOOKUP(A63,ENTRADAS!A:C,2,0),"")</f>
        <v>Rollo tanza x3 x1k red.LUSQTOFF</v>
      </c>
      <c r="C63" s="15">
        <f>SUMIF(ENTRADAS!A:A,INVENTARIO!A63,ENTRADAS!C:C)</f>
        <v>50</v>
      </c>
      <c r="D63" s="15">
        <f>SUMIF(SALIDAS!A:A,INVENTARIO!A63,SALIDAS!C:C)</f>
        <v>1</v>
      </c>
      <c r="E63" s="15">
        <f t="shared" si="6"/>
        <v>49</v>
      </c>
      <c r="F63" s="16"/>
      <c r="G63" s="16"/>
    </row>
    <row r="64" spans="1:7">
      <c r="A64" s="16"/>
      <c r="B64" s="16"/>
      <c r="C64" s="16"/>
      <c r="D64" s="16"/>
      <c r="E64" s="16"/>
      <c r="F64" s="16"/>
      <c r="G64" s="16"/>
    </row>
    <row r="65" spans="1:7">
      <c r="A65" s="16"/>
      <c r="B65" s="16"/>
      <c r="C65" s="16"/>
      <c r="D65" s="16"/>
      <c r="E65" s="16"/>
      <c r="F65" s="16"/>
      <c r="G65" s="16"/>
    </row>
    <row r="66" spans="1:7">
      <c r="A66" s="16"/>
      <c r="B66" s="16"/>
      <c r="C66" s="16"/>
      <c r="D66" s="16"/>
      <c r="E66" s="16"/>
      <c r="F66" s="16"/>
      <c r="G66" s="16"/>
    </row>
    <row r="67" spans="1:7">
      <c r="A67" s="16"/>
      <c r="B67" s="16"/>
      <c r="C67" s="16"/>
      <c r="D67" s="16"/>
      <c r="E67" s="16"/>
      <c r="F67" s="16"/>
      <c r="G67" s="16"/>
    </row>
    <row r="68" spans="1:7">
      <c r="A68" s="16"/>
      <c r="B68" s="16"/>
      <c r="C68" s="16"/>
      <c r="D68" s="16"/>
      <c r="E68" s="16"/>
      <c r="F68" s="16"/>
      <c r="G68" s="16"/>
    </row>
    <row r="69" spans="1:7">
      <c r="A69" s="16"/>
      <c r="B69" s="16"/>
      <c r="C69" s="16"/>
      <c r="D69" s="16"/>
      <c r="E69" s="16"/>
      <c r="F69" s="16"/>
      <c r="G69" s="16"/>
    </row>
    <row r="70" spans="1:7">
      <c r="A70" s="16"/>
      <c r="B70" s="16"/>
      <c r="C70" s="16"/>
      <c r="D70" s="16"/>
      <c r="E70" s="16"/>
      <c r="F70" s="16"/>
      <c r="G70" s="16"/>
    </row>
    <row r="71" spans="1:7">
      <c r="A71" s="16"/>
      <c r="B71" s="16"/>
      <c r="C71" s="16"/>
      <c r="D71" s="16"/>
      <c r="E71" s="16"/>
      <c r="F71" s="16"/>
      <c r="G71" s="16"/>
    </row>
    <row r="72" spans="1:7">
      <c r="A72" s="16"/>
      <c r="B72" s="16"/>
      <c r="C72" s="16"/>
      <c r="D72" s="16"/>
      <c r="E72" s="16"/>
      <c r="F72" s="16"/>
      <c r="G72" s="16"/>
    </row>
    <row r="73" spans="1:7">
      <c r="A73" s="16"/>
      <c r="B73" s="16"/>
      <c r="C73" s="16"/>
      <c r="D73" s="16"/>
      <c r="E73" s="16"/>
      <c r="F73" s="16"/>
      <c r="G73" s="16"/>
    </row>
    <row r="74" spans="1:7">
      <c r="A74" s="16"/>
      <c r="B74" s="16"/>
      <c r="C74" s="16"/>
      <c r="D74" s="16"/>
      <c r="E74" s="16"/>
      <c r="F74" s="16"/>
      <c r="G74" s="16"/>
    </row>
    <row r="75" spans="1:7">
      <c r="A75" s="16"/>
      <c r="B75" s="16"/>
      <c r="C75" s="16"/>
      <c r="D75" s="16"/>
      <c r="E75" s="16"/>
      <c r="F75" s="16"/>
      <c r="G75" s="16"/>
    </row>
    <row r="76" spans="1:7">
      <c r="A76" s="16"/>
      <c r="B76" s="16"/>
      <c r="C76" s="16"/>
      <c r="D76" s="16"/>
      <c r="E76" s="16"/>
      <c r="F76" s="16"/>
      <c r="G76" s="16"/>
    </row>
    <row r="77" spans="1:7">
      <c r="A77" s="16"/>
      <c r="B77" s="16"/>
      <c r="C77" s="16"/>
      <c r="D77" s="16"/>
      <c r="E77" s="16"/>
      <c r="F77" s="16"/>
      <c r="G77" s="16"/>
    </row>
    <row r="78" spans="1:7">
      <c r="A78" s="16"/>
      <c r="B78" s="16"/>
      <c r="C78" s="16"/>
      <c r="D78" s="16"/>
      <c r="E78" s="16"/>
      <c r="F78" s="16"/>
      <c r="G78" s="16"/>
    </row>
    <row r="79" spans="1:7">
      <c r="A79" s="16"/>
      <c r="B79" s="16"/>
      <c r="C79" s="16"/>
      <c r="D79" s="16"/>
      <c r="E79" s="16"/>
      <c r="F79" s="16"/>
      <c r="G79" s="16"/>
    </row>
    <row r="80" spans="1:7">
      <c r="A80" s="16"/>
      <c r="B80" s="16"/>
      <c r="C80" s="16"/>
      <c r="D80" s="16"/>
      <c r="E80" s="16"/>
      <c r="F80" s="16"/>
      <c r="G80" s="16"/>
    </row>
    <row r="81" spans="1:7">
      <c r="A81" s="16"/>
      <c r="B81" s="16"/>
      <c r="C81" s="16"/>
      <c r="D81" s="16"/>
      <c r="E81" s="16"/>
      <c r="F81" s="16"/>
      <c r="G81" s="16"/>
    </row>
    <row r="82" spans="1:7">
      <c r="A82" s="16"/>
      <c r="B82" s="16"/>
      <c r="C82" s="16"/>
      <c r="D82" s="16"/>
      <c r="E82" s="16"/>
      <c r="F82" s="16"/>
      <c r="G82" s="16"/>
    </row>
    <row r="83" spans="1:7">
      <c r="A83" s="16"/>
      <c r="B83" s="16"/>
      <c r="C83" s="16"/>
      <c r="D83" s="16"/>
      <c r="E83" s="16"/>
      <c r="F83" s="16"/>
      <c r="G83" s="16"/>
    </row>
    <row r="84" spans="1:7">
      <c r="A84" s="16"/>
      <c r="B84" s="16"/>
      <c r="C84" s="16"/>
      <c r="D84" s="16"/>
      <c r="E84" s="16"/>
      <c r="F84" s="16"/>
      <c r="G84" s="16"/>
    </row>
    <row r="85" spans="1:7">
      <c r="A85" s="16"/>
      <c r="B85" s="16"/>
      <c r="C85" s="16"/>
      <c r="D85" s="16"/>
      <c r="E85" s="16"/>
      <c r="F85" s="16"/>
      <c r="G85" s="16"/>
    </row>
  </sheetData>
  <conditionalFormatting sqref="A8">
    <cfRule type="cellIs" dxfId="17" priority="2" operator="equal">
      <formula>0</formula>
    </cfRule>
  </conditionalFormatting>
  <conditionalFormatting sqref="E2:E63">
    <cfRule type="cellIs" dxfId="16" priority="1" operator="between">
      <formula>0</formula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0181F-0748-4765-812A-2699759DD0B2}">
  <sheetPr codeName="Hoja5"/>
  <dimension ref="A1:E61"/>
  <sheetViews>
    <sheetView workbookViewId="0">
      <selection activeCell="E2" sqref="E2"/>
    </sheetView>
  </sheetViews>
  <sheetFormatPr baseColWidth="10" defaultRowHeight="14.25"/>
  <cols>
    <col min="1" max="1" width="11.75" bestFit="1" customWidth="1"/>
    <col min="2" max="2" width="33.625" customWidth="1"/>
    <col min="3" max="3" width="11.125" customWidth="1"/>
  </cols>
  <sheetData>
    <row r="1" spans="1:5">
      <c r="A1" s="22" t="s">
        <v>1</v>
      </c>
      <c r="B1" s="17" t="s">
        <v>2</v>
      </c>
      <c r="C1" s="17" t="s">
        <v>12</v>
      </c>
      <c r="D1" s="17" t="s">
        <v>6</v>
      </c>
      <c r="E1" s="23" t="s">
        <v>5</v>
      </c>
    </row>
    <row r="2" spans="1:5">
      <c r="A2" s="14" t="s">
        <v>657</v>
      </c>
      <c r="B2" s="45" t="str">
        <f>IFERROR(VLOOKUP(A2,INVENTARIO!A:E,2,0),"")</f>
        <v/>
      </c>
      <c r="C2" s="45" t="str">
        <f>IFERROR(VLOOKUP(A2,INVENTARIO!A:E,5,0),"")</f>
        <v/>
      </c>
      <c r="D2" s="45">
        <f>IFERROR(VLOOKUP(A2,ENTRADAS!A:E,4,0),"")</f>
        <v>1</v>
      </c>
      <c r="E2" s="46">
        <f ca="1">TODAY()</f>
        <v>45895</v>
      </c>
    </row>
    <row r="3" spans="1:5">
      <c r="A3" s="45" t="s">
        <v>125</v>
      </c>
      <c r="B3" s="45" t="str">
        <f>IFERROR(VLOOKUP(A3,INVENTARIO!A:E,2,0),"")</f>
        <v>Brochas cerda 190x65 MAX</v>
      </c>
      <c r="C3" s="45">
        <f>IFERROR(VLOOKUP(A3,INVENTARIO!A:E,5,0),"")</f>
        <v>27</v>
      </c>
      <c r="D3" s="45">
        <f>IFERROR(VLOOKUP(A3,ENTRADAS!A:E,4,0),"")</f>
        <v>1</v>
      </c>
      <c r="E3" s="46">
        <f ca="1">TODAY()</f>
        <v>45895</v>
      </c>
    </row>
    <row r="4" spans="1:5">
      <c r="A4" s="47" t="s">
        <v>125</v>
      </c>
      <c r="B4" s="45" t="str">
        <f>IFERROR(VLOOKUP(A4,INVENTARIO!A:E,2,0),"")</f>
        <v>Brochas cerda 190x65 MAX</v>
      </c>
      <c r="C4" s="45">
        <f>IFERROR(VLOOKUP(A4,INVENTARIO!A:E,5,0),"")</f>
        <v>27</v>
      </c>
      <c r="D4" s="45">
        <f>IFERROR(VLOOKUP(A4,ENTRADAS!A:E,4,0),"")</f>
        <v>1</v>
      </c>
      <c r="E4" s="46">
        <f ca="1">TODAY()</f>
        <v>45895</v>
      </c>
    </row>
    <row r="5" spans="1:5">
      <c r="A5" s="47" t="s">
        <v>125</v>
      </c>
      <c r="B5" s="45" t="str">
        <f>IFERROR(VLOOKUP(A5,INVENTARIO!A:E,2,0),"")</f>
        <v>Brochas cerda 190x65 MAX</v>
      </c>
      <c r="C5" s="45">
        <f>IFERROR(VLOOKUP(A5,INVENTARIO!A:E,5,0),"")</f>
        <v>27</v>
      </c>
      <c r="D5" s="45">
        <f>IFERROR(VLOOKUP(A5,ENTRADAS!A:E,4,0),"")</f>
        <v>1</v>
      </c>
      <c r="E5" s="46">
        <f t="shared" ref="E5:E13" ca="1" si="0">TODAY()</f>
        <v>45895</v>
      </c>
    </row>
    <row r="6" spans="1:5">
      <c r="A6" s="45" t="s">
        <v>100</v>
      </c>
      <c r="B6" s="45" t="str">
        <f>IFERROR(VLOOKUP(A6,INVENTARIO!A:E,2,0),"")</f>
        <v>Barniz x 4 lt.</v>
      </c>
      <c r="C6" s="45">
        <f>IFERROR(VLOOKUP(A6,INVENTARIO!A:E,5,0),"")</f>
        <v>8</v>
      </c>
      <c r="D6" s="45">
        <f>IFERROR(VLOOKUP(A6,ENTRADAS!A:E,4,0),"")</f>
        <v>1</v>
      </c>
      <c r="E6" s="46">
        <f t="shared" ca="1" si="0"/>
        <v>45895</v>
      </c>
    </row>
    <row r="7" spans="1:5">
      <c r="A7" s="47" t="s">
        <v>196</v>
      </c>
      <c r="B7" s="45" t="str">
        <f>IFERROR(VLOOKUP(A7,INVENTARIO!A:E,2,0),"")</f>
        <v>Balde de albañil PVC</v>
      </c>
      <c r="C7" s="45">
        <f>IFERROR(VLOOKUP(A7,INVENTARIO!A:E,5,0),"")</f>
        <v>83</v>
      </c>
      <c r="D7" s="45">
        <f>IFERROR(VLOOKUP(A7,ENTRADAS!A:E,4,0),"")</f>
        <v>1</v>
      </c>
      <c r="E7" s="46">
        <f t="shared" ca="1" si="0"/>
        <v>45895</v>
      </c>
    </row>
    <row r="8" spans="1:5">
      <c r="A8" s="47" t="s">
        <v>196</v>
      </c>
      <c r="B8" s="45" t="str">
        <f>IFERROR(VLOOKUP(A8,INVENTARIO!A:E,2,0),"")</f>
        <v>Balde de albañil PVC</v>
      </c>
      <c r="C8" s="45">
        <f>IFERROR(VLOOKUP(A8,INVENTARIO!A:E,5,0),"")</f>
        <v>83</v>
      </c>
      <c r="D8" s="45">
        <f>IFERROR(VLOOKUP(A8,ENTRADAS!A:E,4,0),"")</f>
        <v>1</v>
      </c>
      <c r="E8" s="46">
        <f t="shared" ca="1" si="0"/>
        <v>45895</v>
      </c>
    </row>
    <row r="9" spans="1:5">
      <c r="A9" s="47" t="s">
        <v>323</v>
      </c>
      <c r="B9" s="45" t="str">
        <f>IFERROR(VLOOKUP(A9,INVENTARIO!A:E,2,0),"")</f>
        <v xml:space="preserve">Asada metal 2,5 </v>
      </c>
      <c r="C9" s="45">
        <f>IFERROR(VLOOKUP(A9,INVENTARIO!A:E,5,0),"")</f>
        <v>9</v>
      </c>
      <c r="D9" s="45">
        <f>IFERROR(VLOOKUP(A9,ENTRADAS!A:E,4,0),"")</f>
        <v>1</v>
      </c>
      <c r="E9" s="46">
        <f t="shared" ca="1" si="0"/>
        <v>45895</v>
      </c>
    </row>
    <row r="10" spans="1:5">
      <c r="A10" s="47" t="s">
        <v>38</v>
      </c>
      <c r="B10" s="45" t="str">
        <f>IFERROR(VLOOKUP(A10,INVENTARIO!A:E,2,0),"")</f>
        <v>Amoladora electrica  x180 mm</v>
      </c>
      <c r="C10" s="45">
        <f>IFERROR(VLOOKUP(A10,INVENTARIO!A:E,5,0),"")</f>
        <v>2</v>
      </c>
      <c r="D10" s="45">
        <f>IFERROR(VLOOKUP(A10,ENTRADAS!A:E,4,0),"")</f>
        <v>1</v>
      </c>
      <c r="E10" s="46">
        <f t="shared" ca="1" si="0"/>
        <v>45895</v>
      </c>
    </row>
    <row r="11" spans="1:5">
      <c r="A11" s="47" t="s">
        <v>37</v>
      </c>
      <c r="B11" s="45" t="str">
        <f>IFERROR(VLOOKUP(A11,INVENTARIO!A:E,2,0),"")</f>
        <v>Amoladora electrica  x125 mm</v>
      </c>
      <c r="C11" s="45">
        <f>IFERROR(VLOOKUP(A11,INVENTARIO!A:E,5,0),"")</f>
        <v>10</v>
      </c>
      <c r="D11" s="45">
        <f>IFERROR(VLOOKUP(A11,ENTRADAS!A:E,4,0),"")</f>
        <v>1</v>
      </c>
      <c r="E11" s="46">
        <f t="shared" ca="1" si="0"/>
        <v>45895</v>
      </c>
    </row>
    <row r="12" spans="1:5">
      <c r="A12" s="47" t="s">
        <v>37</v>
      </c>
      <c r="B12" s="45" t="str">
        <f>IFERROR(VLOOKUP(A12,INVENTARIO!A:E,2,0),"")</f>
        <v>Amoladora electrica  x125 mm</v>
      </c>
      <c r="C12" s="45">
        <f>IFERROR(VLOOKUP(A12,INVENTARIO!A:E,5,0),"")</f>
        <v>10</v>
      </c>
      <c r="D12" s="45">
        <f>IFERROR(VLOOKUP(A12,ENTRADAS!A:E,4,0),"")</f>
        <v>1</v>
      </c>
      <c r="E12" s="46">
        <f t="shared" ca="1" si="0"/>
        <v>45895</v>
      </c>
    </row>
    <row r="13" spans="1:5">
      <c r="A13" s="47" t="s">
        <v>312</v>
      </c>
      <c r="B13" s="45" t="str">
        <f>IFERROR(VLOOKUP(A13,INVENTARIO!A:E,2,0),"")</f>
        <v>Alumbrado publico led 150w</v>
      </c>
      <c r="C13" s="45">
        <f>IFERROR(VLOOKUP(A13,INVENTARIO!A:E,5,0),"")</f>
        <v>208</v>
      </c>
      <c r="D13" s="45">
        <f>IFERROR(VLOOKUP(A13,ENTRADAS!A:E,4,0),"")</f>
        <v>1</v>
      </c>
      <c r="E13" s="46">
        <f t="shared" ca="1" si="0"/>
        <v>45895</v>
      </c>
    </row>
    <row r="14" spans="1:5">
      <c r="A14" s="47" t="s">
        <v>311</v>
      </c>
      <c r="B14" s="45" t="str">
        <f>IFERROR(VLOOKUP(A14,INVENTARIO!A:E,2,0),"")</f>
        <v>Alumbrado publico led 100w</v>
      </c>
      <c r="C14" s="45">
        <f>IFERROR(VLOOKUP(A14,INVENTARIO!A:E,5,0),"")</f>
        <v>190</v>
      </c>
      <c r="D14" s="45">
        <f>IFERROR(VLOOKUP(A14,ENTRADAS!A:E,4,0),"")</f>
        <v>1</v>
      </c>
      <c r="E14" s="46">
        <f t="shared" ref="E14:E26" ca="1" si="1">TODAY()</f>
        <v>45895</v>
      </c>
    </row>
    <row r="15" spans="1:5">
      <c r="A15" s="45" t="s">
        <v>91</v>
      </c>
      <c r="B15" s="45" t="str">
        <f>IFERROR(VLOOKUP(A15,INVENTARIO!A:E,2,0),"")</f>
        <v>Destornillador  PLANO x 200mm</v>
      </c>
      <c r="C15" s="45">
        <f>IFERROR(VLOOKUP(A15,INVENTARIO!A:E,5,0),"")</f>
        <v>7</v>
      </c>
      <c r="D15" s="45">
        <f>IFERROR(VLOOKUP(A15,ENTRADAS!A:E,4,0),"")</f>
        <v>1</v>
      </c>
      <c r="E15" s="46">
        <f t="shared" ca="1" si="1"/>
        <v>45895</v>
      </c>
    </row>
    <row r="16" spans="1:5">
      <c r="A16" s="45" t="s">
        <v>90</v>
      </c>
      <c r="B16" s="45" t="str">
        <f>IFERROR(VLOOKUP(A16,INVENTARIO!A:E,2,0),"")</f>
        <v>Destornillador  PLANO x 150mm</v>
      </c>
      <c r="C16" s="45">
        <f>IFERROR(VLOOKUP(A16,INVENTARIO!A:E,5,0),"")</f>
        <v>5</v>
      </c>
      <c r="D16" s="45">
        <f>IFERROR(VLOOKUP(A16,ENTRADAS!A:E,4,0),"")</f>
        <v>1</v>
      </c>
      <c r="E16" s="46">
        <f t="shared" ca="1" si="1"/>
        <v>45895</v>
      </c>
    </row>
    <row r="17" spans="1:5">
      <c r="A17" s="45" t="s">
        <v>89</v>
      </c>
      <c r="B17" s="45" t="str">
        <f>IFERROR(VLOOKUP(A17,INVENTARIO!A:E,2,0),"")</f>
        <v>Destornillador  PLANO x 100mm</v>
      </c>
      <c r="C17" s="45">
        <f>IFERROR(VLOOKUP(A17,INVENTARIO!A:E,5,0),"")</f>
        <v>0</v>
      </c>
      <c r="D17" s="45">
        <f>IFERROR(VLOOKUP(A17,ENTRADAS!A:E,4,0),"")</f>
        <v>1</v>
      </c>
      <c r="E17" s="46">
        <f t="shared" ca="1" si="1"/>
        <v>45895</v>
      </c>
    </row>
    <row r="18" spans="1:5">
      <c r="A18" s="45" t="s">
        <v>80</v>
      </c>
      <c r="B18" s="45" t="str">
        <f>IFERROR(VLOOKUP(A18,INVENTARIO!A:E,2,0),"")</f>
        <v>Scaner de pared UT387</v>
      </c>
      <c r="C18" s="45">
        <f>IFERROR(VLOOKUP(A18,INVENTARIO!A:E,5,0),"")</f>
        <v>2</v>
      </c>
      <c r="D18" s="45">
        <f>IFERROR(VLOOKUP(A18,ENTRADAS!A:E,4,0),"")</f>
        <v>1</v>
      </c>
      <c r="E18" s="46">
        <f t="shared" ca="1" si="1"/>
        <v>45895</v>
      </c>
    </row>
    <row r="19" spans="1:5">
      <c r="A19" s="47" t="s">
        <v>188</v>
      </c>
      <c r="B19" s="45" t="str">
        <f>IFERROR(VLOOKUP(A19,INVENTARIO!A:E,2,0),"")</f>
        <v>Anti parras transparente</v>
      </c>
      <c r="C19" s="45">
        <f>IFERROR(VLOOKUP(A19,INVENTARIO!A:E,5,0),"")</f>
        <v>220</v>
      </c>
      <c r="D19" s="45">
        <f>IFERROR(VLOOKUP(A19,ENTRADAS!A:E,4,0),"")</f>
        <v>1</v>
      </c>
      <c r="E19" s="46">
        <f t="shared" ca="1" si="1"/>
        <v>45895</v>
      </c>
    </row>
    <row r="20" spans="1:5">
      <c r="A20" s="45" t="s">
        <v>76</v>
      </c>
      <c r="B20" s="45" t="str">
        <f>IFERROR(VLOOKUP(A20,INVENTARIO!A:E,2,0),"")</f>
        <v>Taladro percutor a bateria 20V 13 mm</v>
      </c>
      <c r="C20" s="45">
        <f>IFERROR(VLOOKUP(A20,INVENTARIO!A:E,5,0),"")</f>
        <v>9</v>
      </c>
      <c r="D20" s="45">
        <f>IFERROR(VLOOKUP(A20,ENTRADAS!A:E,4,0),"")</f>
        <v>1</v>
      </c>
      <c r="E20" s="46">
        <f t="shared" ca="1" si="1"/>
        <v>45895</v>
      </c>
    </row>
    <row r="21" spans="1:5">
      <c r="A21" s="45" t="s">
        <v>75</v>
      </c>
      <c r="B21" s="45" t="str">
        <f>IFERROR(VLOOKUP(A21,INVENTARIO!A:E,2,0),"")</f>
        <v>Taladro electrico BOSCH 750W</v>
      </c>
      <c r="C21" s="45">
        <f>IFERROR(VLOOKUP(A21,INVENTARIO!A:E,5,0),"")</f>
        <v>4</v>
      </c>
      <c r="D21" s="45">
        <f>IFERROR(VLOOKUP(A21,ENTRADAS!A:E,4,0),"")</f>
        <v>1</v>
      </c>
      <c r="E21" s="46">
        <f t="shared" ca="1" si="1"/>
        <v>45895</v>
      </c>
    </row>
    <row r="22" spans="1:5">
      <c r="A22" s="45" t="s">
        <v>38</v>
      </c>
      <c r="B22" s="45" t="str">
        <f>IFERROR(VLOOKUP(A22,INVENTARIO!A:E,2,0),"")</f>
        <v>Amoladora electrica  x180 mm</v>
      </c>
      <c r="C22" s="45">
        <f>IFERROR(VLOOKUP(A22,INVENTARIO!A:E,5,0),"")</f>
        <v>2</v>
      </c>
      <c r="D22" s="45">
        <f>IFERROR(VLOOKUP(A22,ENTRADAS!A:E,4,0),"")</f>
        <v>1</v>
      </c>
      <c r="E22" s="46">
        <f t="shared" ca="1" si="1"/>
        <v>45895</v>
      </c>
    </row>
    <row r="23" spans="1:5">
      <c r="A23" s="47" t="s">
        <v>38</v>
      </c>
      <c r="B23" s="45" t="str">
        <f>IFERROR(VLOOKUP(A23,INVENTARIO!A:E,2,0),"")</f>
        <v>Amoladora electrica  x180 mm</v>
      </c>
      <c r="C23" s="45">
        <f>IFERROR(VLOOKUP(A23,INVENTARIO!A:E,5,0),"")</f>
        <v>2</v>
      </c>
      <c r="D23" s="45">
        <f>IFERROR(VLOOKUP(A23,ENTRADAS!A:E,4,0),"")</f>
        <v>1</v>
      </c>
      <c r="E23" s="46">
        <f t="shared" ca="1" si="1"/>
        <v>45895</v>
      </c>
    </row>
    <row r="24" spans="1:5">
      <c r="A24" s="45" t="s">
        <v>317</v>
      </c>
      <c r="B24" s="45" t="str">
        <f>IFERROR(VLOOKUP(A24,INVENTARIO!A:E,2,0),"")</f>
        <v>Corta hierro 3/4" - 12"</v>
      </c>
      <c r="C24" s="45">
        <f>IFERROR(VLOOKUP(A24,INVENTARIO!A:E,5,0),"")</f>
        <v>8</v>
      </c>
      <c r="D24" s="45">
        <f>IFERROR(VLOOKUP(A24,ENTRADAS!A:E,4,0),"")</f>
        <v>1</v>
      </c>
      <c r="E24" s="46">
        <f t="shared" ca="1" si="1"/>
        <v>45895</v>
      </c>
    </row>
    <row r="25" spans="1:5">
      <c r="A25" s="47" t="s">
        <v>317</v>
      </c>
      <c r="B25" s="45" t="str">
        <f>IFERROR(VLOOKUP(A25,INVENTARIO!A:E,2,0),"")</f>
        <v>Corta hierro 3/4" - 12"</v>
      </c>
      <c r="C25" s="45">
        <f>IFERROR(VLOOKUP(A25,INVENTARIO!A:E,5,0),"")</f>
        <v>8</v>
      </c>
      <c r="D25" s="45">
        <f>IFERROR(VLOOKUP(A25,ENTRADAS!A:E,4,0),"")</f>
        <v>1</v>
      </c>
      <c r="E25" s="46">
        <f t="shared" ca="1" si="1"/>
        <v>45895</v>
      </c>
    </row>
    <row r="26" spans="1:5">
      <c r="A26" s="45" t="s">
        <v>32</v>
      </c>
      <c r="B26" s="45" t="str">
        <f>IFERROR(VLOOKUP(A26,INVENTARIO!A:E,2,0),"")</f>
        <v>Pinza de corte 8"</v>
      </c>
      <c r="C26" s="45">
        <f>IFERROR(VLOOKUP(A26,INVENTARIO!A:E,5,0),"")</f>
        <v>20</v>
      </c>
      <c r="D26" s="45">
        <f>IFERROR(VLOOKUP(A26,ENTRADAS!A:E,4,0),"")</f>
        <v>1</v>
      </c>
      <c r="E26" s="46">
        <f t="shared" ca="1" si="1"/>
        <v>45895</v>
      </c>
    </row>
    <row r="27" spans="1:5">
      <c r="A27" s="45" t="s">
        <v>84</v>
      </c>
      <c r="B27" s="45" t="str">
        <f>IFERROR(VLOOKUP(A27,INVENTARIO!A:E,2,0),"")</f>
        <v>Destornillador  PHILIP x 75mm</v>
      </c>
      <c r="C27" s="45">
        <f>IFERROR(VLOOKUP(A27,INVENTARIO!A:E,5,0),"")</f>
        <v>7</v>
      </c>
      <c r="D27" s="45">
        <f>IFERROR(VLOOKUP(A27,ENTRADAS!A:E,4,0),"")</f>
        <v>1</v>
      </c>
      <c r="E27" s="46">
        <f t="shared" ref="E27:E35" ca="1" si="2">TODAY()</f>
        <v>45895</v>
      </c>
    </row>
    <row r="28" spans="1:5">
      <c r="A28" s="45" t="s">
        <v>35</v>
      </c>
      <c r="B28" s="45" t="str">
        <f>IFERROR(VLOOKUP(A28,INVENTARIO!A:E,2,0),"")</f>
        <v>Buscapolos digital 12-250V</v>
      </c>
      <c r="C28" s="45">
        <f>IFERROR(VLOOKUP(A28,INVENTARIO!A:E,5,0),"")</f>
        <v>10</v>
      </c>
      <c r="D28" s="45">
        <f>IFERROR(VLOOKUP(A28,ENTRADAS!A:E,4,0),"")</f>
        <v>1</v>
      </c>
      <c r="E28" s="46">
        <f t="shared" ca="1" si="2"/>
        <v>45895</v>
      </c>
    </row>
    <row r="29" spans="1:5">
      <c r="A29" s="45" t="s">
        <v>34</v>
      </c>
      <c r="B29" s="45" t="str">
        <f>IFERROR(VLOOKUP(A29,INVENTARIO!A:E,2,0),"")</f>
        <v>Detector de voltaje digital 90-1000v</v>
      </c>
      <c r="C29" s="45">
        <f>IFERROR(VLOOKUP(A29,INVENTARIO!A:E,5,0),"")</f>
        <v>0</v>
      </c>
      <c r="D29" s="45">
        <f>IFERROR(VLOOKUP(A29,ENTRADAS!A:E,4,0),"")</f>
        <v>1</v>
      </c>
      <c r="E29" s="46">
        <f t="shared" ca="1" si="2"/>
        <v>45895</v>
      </c>
    </row>
    <row r="30" spans="1:5">
      <c r="A30" s="45" t="s">
        <v>65</v>
      </c>
      <c r="B30" s="45" t="str">
        <f>IFERROR(VLOOKUP(A30,INVENTARIO!A:E,2,0),"")</f>
        <v>Pinza punta fina 8"</v>
      </c>
      <c r="C30" s="45">
        <f>IFERROR(VLOOKUP(A30,INVENTARIO!A:E,5,0),"")</f>
        <v>20</v>
      </c>
      <c r="D30" s="45">
        <f>IFERROR(VLOOKUP(A30,ENTRADAS!A:E,4,0),"")</f>
        <v>1</v>
      </c>
      <c r="E30" s="46">
        <f t="shared" ca="1" si="2"/>
        <v>45895</v>
      </c>
    </row>
    <row r="31" spans="1:5">
      <c r="A31" s="45" t="s">
        <v>63</v>
      </c>
      <c r="B31" s="45" t="str">
        <f>IFERROR(VLOOKUP(A31,INVENTARIO!A:E,2,0),"")</f>
        <v>Pinza universal FURZA 8"</v>
      </c>
      <c r="C31" s="45">
        <f>IFERROR(VLOOKUP(A31,INVENTARIO!A:E,5,0),"")</f>
        <v>20</v>
      </c>
      <c r="D31" s="45">
        <f>IFERROR(VLOOKUP(A31,ENTRADAS!A:E,4,0),"")</f>
        <v>1</v>
      </c>
      <c r="E31" s="46">
        <f t="shared" ca="1" si="2"/>
        <v>45895</v>
      </c>
    </row>
    <row r="32" spans="1:5">
      <c r="A32" s="45" t="s">
        <v>268</v>
      </c>
      <c r="B32" s="45" t="str">
        <f>IFERROR(VLOOKUP(A32,INVENTARIO!A:E,2,0),"")</f>
        <v>Cabezal manual motoguad.</v>
      </c>
      <c r="C32" s="45">
        <f>IFERROR(VLOOKUP(A32,INVENTARIO!A:E,5,0),"")</f>
        <v>391</v>
      </c>
      <c r="D32" s="45">
        <f>IFERROR(VLOOKUP(A32,ENTRADAS!A:E,4,0),"")</f>
        <v>1</v>
      </c>
      <c r="E32" s="46">
        <f t="shared" ca="1" si="2"/>
        <v>45895</v>
      </c>
    </row>
    <row r="33" spans="1:5">
      <c r="A33" s="47" t="s">
        <v>268</v>
      </c>
      <c r="B33" s="45" t="str">
        <f>IFERROR(VLOOKUP(A33,INVENTARIO!A:E,2,0),"")</f>
        <v>Cabezal manual motoguad.</v>
      </c>
      <c r="C33" s="45">
        <f>IFERROR(VLOOKUP(A33,INVENTARIO!A:E,5,0),"")</f>
        <v>391</v>
      </c>
      <c r="D33" s="45">
        <f>IFERROR(VLOOKUP(A33,ENTRADAS!A:E,4,0),"")</f>
        <v>1</v>
      </c>
      <c r="E33" s="46">
        <f t="shared" ca="1" si="2"/>
        <v>45895</v>
      </c>
    </row>
    <row r="34" spans="1:5">
      <c r="A34" s="45" t="s">
        <v>55</v>
      </c>
      <c r="B34" s="45" t="str">
        <f>IFERROR(VLOOKUP(A34,INVENTARIO!A:E,2,0),"")</f>
        <v>Juego de llave ALEN 9 PZS 1.5 - 10 mm</v>
      </c>
      <c r="C34" s="45">
        <f>IFERROR(VLOOKUP(A34,INVENTARIO!A:E,5,0),"")</f>
        <v>1</v>
      </c>
      <c r="D34" s="45">
        <f>IFERROR(VLOOKUP(A34,ENTRADAS!A:E,4,0),"")</f>
        <v>1</v>
      </c>
      <c r="E34" s="46">
        <f t="shared" ca="1" si="2"/>
        <v>45895</v>
      </c>
    </row>
    <row r="35" spans="1:5">
      <c r="A35" s="47" t="s">
        <v>117</v>
      </c>
      <c r="B35" s="45" t="str">
        <f>IFERROR(VLOOKUP(A35,INVENTARIO!A:E,2,0),"")</f>
        <v>Rollo tanza x3 x1k red.LONYL x130 mts.</v>
      </c>
      <c r="C35" s="45">
        <f>IFERROR(VLOOKUP(A35,INVENTARIO!A:E,5,0),"")</f>
        <v>40</v>
      </c>
      <c r="D35" s="45">
        <f>IFERROR(VLOOKUP(A35,ENTRADAS!A:E,4,0),"")</f>
        <v>1</v>
      </c>
      <c r="E35" s="46">
        <f t="shared" ca="1" si="2"/>
        <v>45895</v>
      </c>
    </row>
    <row r="36" spans="1:5">
      <c r="A36" s="28" t="s">
        <v>265</v>
      </c>
      <c r="B36" s="28" t="str">
        <f>IFERROR(VLOOKUP(A36,INVENTARIO!A:E,2,0),"")</f>
        <v>Cabezal STIHL C32-2 motoguad.STIHL235</v>
      </c>
      <c r="C36" s="28">
        <f>IFERROR(VLOOKUP(A36,INVENTARIO!A:E,5,0),"")</f>
        <v>0</v>
      </c>
      <c r="D36" s="28">
        <f>IFERROR(VLOOKUP(A36,ENTRADAS!A:E,4,0),"")</f>
        <v>1</v>
      </c>
      <c r="E36" s="29">
        <f t="shared" ref="E36:E40" ca="1" si="3">TODAY()</f>
        <v>45895</v>
      </c>
    </row>
    <row r="37" spans="1:5">
      <c r="A37" s="28" t="s">
        <v>58</v>
      </c>
      <c r="B37" s="28" t="str">
        <f>IFERROR(VLOOKUP(A37,INVENTARIO!A:E,2,0),"")</f>
        <v>Juego de llave Conbinada 17 pzs.6a22mm</v>
      </c>
      <c r="C37" s="28">
        <f>IFERROR(VLOOKUP(A37,INVENTARIO!A:E,5,0),"")</f>
        <v>6</v>
      </c>
      <c r="D37" s="28">
        <f>IFERROR(VLOOKUP(A37,ENTRADAS!A:E,4,0),"")</f>
        <v>1</v>
      </c>
      <c r="E37" s="29">
        <f t="shared" ca="1" si="3"/>
        <v>45895</v>
      </c>
    </row>
    <row r="38" spans="1:5">
      <c r="A38" s="28" t="s">
        <v>25</v>
      </c>
      <c r="B38" s="28" t="str">
        <f>IFERROR(VLOOKUP(A38,INVENTARIO!A:E,2,0),"")</f>
        <v>Lampara Led 100W</v>
      </c>
      <c r="C38" s="28">
        <f>IFERROR(VLOOKUP(A38,INVENTARIO!A:E,5,0),"")</f>
        <v>350</v>
      </c>
      <c r="D38" s="28">
        <f>IFERROR(VLOOKUP(A38,ENTRADAS!A:E,4,0),"")</f>
        <v>1</v>
      </c>
      <c r="E38" s="29">
        <f t="shared" ca="1" si="3"/>
        <v>45895</v>
      </c>
    </row>
    <row r="39" spans="1:5">
      <c r="A39" s="28" t="s">
        <v>291</v>
      </c>
      <c r="B39" s="28" t="str">
        <f>IFERROR(VLOOKUP(A39,INVENTARIO!A:E,2,0),"")</f>
        <v>Pares Bota caña larga PVC N°38</v>
      </c>
      <c r="C39" s="28">
        <f>IFERROR(VLOOKUP(A39,INVENTARIO!A:E,5,0),"")</f>
        <v>2</v>
      </c>
      <c r="D39" s="28">
        <f>IFERROR(VLOOKUP(A39,ENTRADAS!A:E,4,0),"")</f>
        <v>1</v>
      </c>
      <c r="E39" s="29">
        <f t="shared" ca="1" si="3"/>
        <v>45895</v>
      </c>
    </row>
    <row r="40" spans="1:5">
      <c r="A40" s="28" t="s">
        <v>290</v>
      </c>
      <c r="B40" s="28" t="str">
        <f>IFERROR(VLOOKUP(A40,INVENTARIO!A:E,2,0),"")</f>
        <v>Pares Bota caña larga PVC N°37</v>
      </c>
      <c r="C40" s="28">
        <f>IFERROR(VLOOKUP(A40,INVENTARIO!A:E,5,0),"")</f>
        <v>4</v>
      </c>
      <c r="D40" s="28">
        <f>IFERROR(VLOOKUP(A40,ENTRADAS!A:E,4,0),"")</f>
        <v>1</v>
      </c>
      <c r="E40" s="29">
        <f t="shared" ca="1" si="3"/>
        <v>45895</v>
      </c>
    </row>
    <row r="41" spans="1:5">
      <c r="A41" s="28" t="s">
        <v>200</v>
      </c>
      <c r="B41" s="28" t="str">
        <f>IFERROR(VLOOKUP(A41,INVENTARIO!A:E,2,0),"")</f>
        <v>Pala punta mango metal</v>
      </c>
      <c r="C41" s="28">
        <f>IFERROR(VLOOKUP(A41,INVENTARIO!A:E,5,0),"")</f>
        <v>38</v>
      </c>
      <c r="D41" s="28">
        <f>IFERROR(VLOOKUP(A41,ENTRADAS!A:E,4,0),"")</f>
        <v>1</v>
      </c>
      <c r="E41" s="29">
        <f t="shared" ref="E41:E49" ca="1" si="4">TODAY()</f>
        <v>45895</v>
      </c>
    </row>
    <row r="42" spans="1:5">
      <c r="A42" s="28" t="s">
        <v>198</v>
      </c>
      <c r="B42" s="28" t="str">
        <f>IFERROR(VLOOKUP(A42,INVENTARIO!A:E,2,0),"")</f>
        <v>Pala ancha mango metal</v>
      </c>
      <c r="C42" s="28">
        <f>IFERROR(VLOOKUP(A42,INVENTARIO!A:E,5,0),"")</f>
        <v>33</v>
      </c>
      <c r="D42" s="28">
        <f>IFERROR(VLOOKUP(A42,ENTRADAS!A:E,4,0),"")</f>
        <v>1</v>
      </c>
      <c r="E42" s="29">
        <f t="shared" ca="1" si="4"/>
        <v>45895</v>
      </c>
    </row>
    <row r="43" spans="1:5">
      <c r="A43" s="28" t="s">
        <v>313</v>
      </c>
      <c r="B43" s="28" t="str">
        <f>IFERROR(VLOOKUP(A43,INVENTARIO!A:E,2,0),"")</f>
        <v>Pares guantes DESCARNE</v>
      </c>
      <c r="C43" s="28">
        <f>IFERROR(VLOOKUP(A43,INVENTARIO!A:E,5,0),"")</f>
        <v>963</v>
      </c>
      <c r="D43" s="28">
        <f>IFERROR(VLOOKUP(A43,ENTRADAS!A:E,4,0),"")</f>
        <v>1</v>
      </c>
      <c r="E43" s="29">
        <f t="shared" ca="1" si="4"/>
        <v>45895</v>
      </c>
    </row>
    <row r="44" spans="1:5">
      <c r="A44" s="28" t="s">
        <v>312</v>
      </c>
      <c r="B44" s="28" t="str">
        <f>IFERROR(VLOOKUP(A44,INVENTARIO!A:E,2,0),"")</f>
        <v>Alumbrado publico led 150w</v>
      </c>
      <c r="C44" s="28">
        <f>IFERROR(VLOOKUP(A44,INVENTARIO!A:E,5,0),"")</f>
        <v>208</v>
      </c>
      <c r="D44" s="28">
        <f>IFERROR(VLOOKUP(A44,ENTRADAS!A:E,4,0),"")</f>
        <v>1</v>
      </c>
      <c r="E44" s="29">
        <f t="shared" ca="1" si="4"/>
        <v>45895</v>
      </c>
    </row>
    <row r="45" spans="1:5">
      <c r="A45" s="28" t="s">
        <v>310</v>
      </c>
      <c r="B45" s="28" t="str">
        <f>IFERROR(VLOOKUP(A45,INVENTARIO!A:E,2,0),"")</f>
        <v>Farola iluminacion tipo pionero c/brazo corto</v>
      </c>
      <c r="C45" s="28">
        <f>IFERROR(VLOOKUP(A45,INVENTARIO!A:E,5,0),"")</f>
        <v>250</v>
      </c>
      <c r="D45" s="28">
        <f>IFERROR(VLOOKUP(A45,ENTRADAS!A:E,4,0),"")</f>
        <v>1</v>
      </c>
      <c r="E45" s="29">
        <f t="shared" ca="1" si="4"/>
        <v>45895</v>
      </c>
    </row>
    <row r="46" spans="1:5">
      <c r="A46" s="28" t="s">
        <v>266</v>
      </c>
      <c r="B46" s="28" t="str">
        <f>IFERROR(VLOOKUP(A46,INVENTARIO!A:E,2,0),"")</f>
        <v>Cabezal STIHL 46-2 motoguad.STIHL280</v>
      </c>
      <c r="C46" s="28">
        <f>IFERROR(VLOOKUP(A46,INVENTARIO!A:E,5,0),"")</f>
        <v>0</v>
      </c>
      <c r="D46" s="28">
        <f>IFERROR(VLOOKUP(A46,ENTRADAS!A:E,4,0),"")</f>
        <v>1</v>
      </c>
      <c r="E46" s="29">
        <f t="shared" ca="1" si="4"/>
        <v>45895</v>
      </c>
    </row>
    <row r="47" spans="1:5">
      <c r="A47" s="28" t="s">
        <v>265</v>
      </c>
      <c r="B47" s="28" t="str">
        <f>IFERROR(VLOOKUP(A47,INVENTARIO!A:E,2,0),"")</f>
        <v>Cabezal STIHL C32-2 motoguad.STIHL235</v>
      </c>
      <c r="C47" s="28">
        <f>IFERROR(VLOOKUP(A47,INVENTARIO!A:E,5,0),"")</f>
        <v>0</v>
      </c>
      <c r="D47" s="28">
        <f>IFERROR(VLOOKUP(A47,ENTRADAS!A:E,4,0),"")</f>
        <v>1</v>
      </c>
      <c r="E47" s="29">
        <f t="shared" ca="1" si="4"/>
        <v>45895</v>
      </c>
    </row>
    <row r="48" spans="1:5">
      <c r="A48" s="28" t="s">
        <v>282</v>
      </c>
      <c r="B48" s="28" t="str">
        <f>IFERROR(VLOOKUP(A48,INVENTARIO!A:E,2,0),"")</f>
        <v>Caño estructural 20x20</v>
      </c>
      <c r="C48" s="28">
        <f>IFERROR(VLOOKUP(A48,INVENTARIO!A:E,5,0),"")</f>
        <v>14</v>
      </c>
      <c r="D48" s="28">
        <f>IFERROR(VLOOKUP(A48,ENTRADAS!A:E,4,0),"")</f>
        <v>1</v>
      </c>
      <c r="E48" s="29">
        <f t="shared" ca="1" si="4"/>
        <v>45895</v>
      </c>
    </row>
    <row r="49" spans="1:5">
      <c r="A49" s="28" t="s">
        <v>266</v>
      </c>
      <c r="B49" s="28" t="str">
        <f>IFERROR(VLOOKUP(A49,INVENTARIO!A:E,2,0),"")</f>
        <v>Cabezal STIHL 46-2 motoguad.STIHL280</v>
      </c>
      <c r="C49" s="28">
        <f>IFERROR(VLOOKUP(A49,INVENTARIO!A:E,5,0),"")</f>
        <v>0</v>
      </c>
      <c r="D49" s="28">
        <f>IFERROR(VLOOKUP(A49,ENTRADAS!A:E,4,0),"")</f>
        <v>1</v>
      </c>
      <c r="E49" s="29">
        <f t="shared" ca="1" si="4"/>
        <v>45895</v>
      </c>
    </row>
    <row r="50" spans="1:5">
      <c r="A50" s="28" t="s">
        <v>192</v>
      </c>
      <c r="B50" s="28" t="str">
        <f>IFERROR(VLOOKUP(A50,INVENTARIO!A:E,2,0),"")</f>
        <v>Pares guantes de hilo</v>
      </c>
      <c r="C50" s="28">
        <f>IFERROR(VLOOKUP(A50,INVENTARIO!A:E,5,0),"")</f>
        <v>1859</v>
      </c>
      <c r="D50" s="28">
        <f>IFERROR(VLOOKUP(A50,ENTRADAS!A:E,4,0),"")</f>
        <v>1</v>
      </c>
      <c r="E50" s="29">
        <f t="shared" ref="E50:E54" ca="1" si="5">TODAY()</f>
        <v>45895</v>
      </c>
    </row>
    <row r="51" spans="1:5">
      <c r="A51" s="28" t="s">
        <v>194</v>
      </c>
      <c r="B51" s="28" t="str">
        <f>IFERROR(VLOOKUP(A51,INVENTARIO!A:E,2,0),"")</f>
        <v>Pares guantes LATEX uso industrial</v>
      </c>
      <c r="C51" s="28">
        <f>IFERROR(VLOOKUP(A51,INVENTARIO!A:E,5,0),"")</f>
        <v>135</v>
      </c>
      <c r="D51" s="28">
        <f>IFERROR(VLOOKUP(A51,ENTRADAS!A:E,4,0),"")</f>
        <v>1</v>
      </c>
      <c r="E51" s="29">
        <f t="shared" ca="1" si="5"/>
        <v>45895</v>
      </c>
    </row>
    <row r="52" spans="1:5">
      <c r="A52" s="28" t="s">
        <v>133</v>
      </c>
      <c r="B52" s="28" t="str">
        <f>IFERROR(VLOOKUP(A52,INVENTARIO!A:E,2,0),"")</f>
        <v>Pincel cerda 11/2</v>
      </c>
      <c r="C52" s="28">
        <f>IFERROR(VLOOKUP(A52,INVENTARIO!A:E,5,0),"")</f>
        <v>11</v>
      </c>
      <c r="D52" s="28">
        <f>IFERROR(VLOOKUP(A52,ENTRADAS!A:E,4,0),"")</f>
        <v>1</v>
      </c>
      <c r="E52" s="29">
        <f t="shared" ca="1" si="5"/>
        <v>45895</v>
      </c>
    </row>
    <row r="53" spans="1:5">
      <c r="A53" s="28" t="s">
        <v>121</v>
      </c>
      <c r="B53" s="28" t="str">
        <f>IFERROR(VLOOKUP(A53,INVENTARIO!A:E,2,0),"")</f>
        <v>Brochas cerda 165x58 MAX</v>
      </c>
      <c r="C53" s="28">
        <f>IFERROR(VLOOKUP(A53,INVENTARIO!A:E,5,0),"")</f>
        <v>42</v>
      </c>
      <c r="D53" s="28">
        <f>IFERROR(VLOOKUP(A53,ENTRADAS!A:E,4,0),"")</f>
        <v>1</v>
      </c>
      <c r="E53" s="29">
        <f t="shared" ca="1" si="5"/>
        <v>45895</v>
      </c>
    </row>
    <row r="54" spans="1:5">
      <c r="A54" s="28" t="s">
        <v>111</v>
      </c>
      <c r="B54" s="28" t="str">
        <f>IFERROR(VLOOKUP(A54,INVENTARIO!A:E,2,0),"")</f>
        <v>Pinura sintetica x 1lt. NEGRO</v>
      </c>
      <c r="C54" s="28">
        <f>IFERROR(VLOOKUP(A54,INVENTARIO!A:E,5,0),"")</f>
        <v>26</v>
      </c>
      <c r="D54" s="28">
        <f>IFERROR(VLOOKUP(A54,ENTRADAS!A:E,4,0),"")</f>
        <v>1</v>
      </c>
      <c r="E54" s="29">
        <f t="shared" ca="1" si="5"/>
        <v>45895</v>
      </c>
    </row>
    <row r="55" spans="1:5">
      <c r="A55" s="28" t="s">
        <v>119</v>
      </c>
      <c r="B55" s="28" t="str">
        <f>IFERROR(VLOOKUP(A55,INVENTARIO!A:E,2,0),"")</f>
        <v>Machete BELLOTA 31-22 RM</v>
      </c>
      <c r="C55" s="28">
        <f>IFERROR(VLOOKUP(A55,INVENTARIO!A:E,5,0),"")</f>
        <v>40</v>
      </c>
      <c r="D55" s="28">
        <f>IFERROR(VLOOKUP(A55,ENTRADAS!A:E,4,0),"")</f>
        <v>1</v>
      </c>
      <c r="E55" s="29">
        <f t="shared" ref="E55:E59" ca="1" si="6">TODAY()</f>
        <v>45895</v>
      </c>
    </row>
    <row r="56" spans="1:5">
      <c r="A56" s="28" t="s">
        <v>117</v>
      </c>
      <c r="B56" s="28" t="str">
        <f>IFERROR(VLOOKUP(A56,INVENTARIO!A:E,2,0),"")</f>
        <v>Rollo tanza x3 x1k red.LONYL x130 mts.</v>
      </c>
      <c r="C56" s="28">
        <f>IFERROR(VLOOKUP(A56,INVENTARIO!A:E,5,0),"")</f>
        <v>40</v>
      </c>
      <c r="D56" s="28">
        <f>IFERROR(VLOOKUP(A56,ENTRADAS!A:E,4,0),"")</f>
        <v>1</v>
      </c>
      <c r="E56" s="29">
        <f t="shared" ca="1" si="6"/>
        <v>45895</v>
      </c>
    </row>
    <row r="57" spans="1:5">
      <c r="A57" s="28" t="s">
        <v>109</v>
      </c>
      <c r="B57" s="28" t="str">
        <f>IFERROR(VLOOKUP(A57,INVENTARIO!A:E,2,0),"")</f>
        <v>Thinner x 1 lt.</v>
      </c>
      <c r="C57" s="28">
        <f>IFERROR(VLOOKUP(A57,INVENTARIO!A:E,5,0),"")</f>
        <v>58</v>
      </c>
      <c r="D57" s="28">
        <f>IFERROR(VLOOKUP(A57,ENTRADAS!A:E,4,0),"")</f>
        <v>1</v>
      </c>
      <c r="E57" s="29">
        <f t="shared" ca="1" si="6"/>
        <v>45895</v>
      </c>
    </row>
    <row r="58" spans="1:5">
      <c r="A58" s="28" t="s">
        <v>61</v>
      </c>
      <c r="B58" s="28" t="str">
        <f>IFERROR(VLOOKUP(A58,INVENTARIO!A:E,2,0),"")</f>
        <v>Martillo tipo MAZO x1k</v>
      </c>
      <c r="C58" s="28">
        <f>IFERROR(VLOOKUP(A58,INVENTARIO!A:E,5,0),"")</f>
        <v>16</v>
      </c>
      <c r="D58" s="28">
        <f>IFERROR(VLOOKUP(A58,ENTRADAS!A:E,4,0),"")</f>
        <v>1</v>
      </c>
      <c r="E58" s="29">
        <f t="shared" ca="1" si="6"/>
        <v>45895</v>
      </c>
    </row>
    <row r="59" spans="1:5">
      <c r="A59" s="28" t="s">
        <v>19</v>
      </c>
      <c r="B59" s="28" t="str">
        <f>IFERROR(VLOOKUP(A59,INVENTARIO!A:E,2,0),"")</f>
        <v>Soplador STIHL SH86</v>
      </c>
      <c r="C59" s="28">
        <f>IFERROR(VLOOKUP(A59,INVENTARIO!A:E,5,0),"")</f>
        <v>9</v>
      </c>
      <c r="D59" s="28">
        <f>IFERROR(VLOOKUP(A59,ENTRADAS!A:E,4,0),"")</f>
        <v>1</v>
      </c>
      <c r="E59" s="29">
        <f t="shared" ca="1" si="6"/>
        <v>45895</v>
      </c>
    </row>
    <row r="60" spans="1:5">
      <c r="A60" s="28" t="s">
        <v>13</v>
      </c>
      <c r="B60" s="28" t="str">
        <f>IFERROR(VLOOKUP(A60,INVENTARIO!A:E,2,0),"")</f>
        <v>Rollo tanza x3 x1k cuad.LUSQTOFF</v>
      </c>
      <c r="C60" s="28">
        <f>IFERROR(VLOOKUP(A60,INVENTARIO!A:E,5,0),"")</f>
        <v>49</v>
      </c>
      <c r="D60" s="28">
        <f>IFERROR(VLOOKUP(A60,ENTRADAS!A:E,4,0),"")</f>
        <v>1</v>
      </c>
      <c r="E60" s="29">
        <f t="shared" ref="E60:E61" ca="1" si="7">TODAY()</f>
        <v>45895</v>
      </c>
    </row>
    <row r="61" spans="1:5">
      <c r="A61" s="28" t="s">
        <v>7</v>
      </c>
      <c r="B61" s="28" t="str">
        <f>IFERROR(VLOOKUP(A61,INVENTARIO!A:E,2,0),"")</f>
        <v>Rollo tanza x3 x1k red.LUSQTOFF</v>
      </c>
      <c r="C61" s="28">
        <f>IFERROR(VLOOKUP(A61,INVENTARIO!A:E,5,0),"")</f>
        <v>49</v>
      </c>
      <c r="D61" s="28">
        <f>IFERROR(VLOOKUP(A61,ENTRADAS!A:E,4,0),"")</f>
        <v>1</v>
      </c>
      <c r="E61" s="29">
        <f t="shared" ca="1" si="7"/>
        <v>45895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REGISTRO</vt:lpstr>
      <vt:lpstr>ENTRADAS</vt:lpstr>
      <vt:lpstr>SALIDAS</vt:lpstr>
      <vt:lpstr>INVENTARIO</vt:lpstr>
      <vt:lpstr>DATO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2025-08-07T12:47:58Z</cp:lastPrinted>
  <dcterms:created xsi:type="dcterms:W3CDTF">2025-03-07T13:30:14Z</dcterms:created>
  <dcterms:modified xsi:type="dcterms:W3CDTF">2025-08-26T10:23:23Z</dcterms:modified>
</cp:coreProperties>
</file>